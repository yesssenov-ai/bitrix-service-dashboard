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Objects="none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8615FCE-1206-4B49-87AA-60D649CA9DB4}" xr6:coauthVersionLast="47" xr6:coauthVersionMax="47" xr10:uidLastSave="{00000000-0000-0000-0000-000000000000}"/>
  <bookViews>
    <workbookView xWindow="-98" yWindow="-98" windowWidth="19396" windowHeight="11475" tabRatio="761" activeTab="1" xr2:uid="{00000000-000D-0000-FFFF-FFFF00000000}"/>
  </bookViews>
  <sheets>
    <sheet name="ПРИЕМКА" sheetId="8" r:id="rId1"/>
    <sheet name="ПРОБОПОДГОТОВКА" sheetId="9" r:id="rId2"/>
    <sheet name="ПРОБИРНЫЙ АНАЛИЗ" sheetId="10" r:id="rId3"/>
    <sheet name="АНАЛИТИКА" sheetId="11" r:id="rId4"/>
    <sheet name="ПРЕКУРСОРНАЯ" sheetId="12" r:id="rId5"/>
  </sheets>
  <definedNames>
    <definedName name="_xlnm.Print_Area" localSheetId="0">ПРИЕМКА!$A$1:$E$18</definedName>
    <definedName name="_xlnm.Print_Area" localSheetId="2">'ПРОБИРНЫЙ АНАЛИЗ'!$A$1:$G$71</definedName>
    <definedName name="_xlnm.Print_Area" localSheetId="1">ПРОБОПОДГОТОВКА!$A$1:$G$46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" i="10" l="1"/>
  <c r="E19" i="10"/>
  <c r="E61" i="10"/>
  <c r="E59" i="10"/>
  <c r="E11" i="10" l="1"/>
  <c r="E10" i="10"/>
  <c r="E36" i="9"/>
  <c r="E35" i="9"/>
  <c r="E41" i="9"/>
  <c r="E12" i="9"/>
  <c r="E11" i="9"/>
  <c r="E26" i="9" l="1"/>
  <c r="E23" i="9"/>
  <c r="E22" i="9"/>
  <c r="E24" i="9"/>
  <c r="E20" i="9"/>
  <c r="E19" i="9"/>
  <c r="E14" i="9"/>
  <c r="E12" i="8"/>
  <c r="E11" i="8"/>
  <c r="E10" i="8"/>
  <c r="E5" i="9" l="1"/>
  <c r="E4" i="9"/>
  <c r="E6" i="9"/>
  <c r="E32" i="9"/>
  <c r="E34" i="9"/>
  <c r="E33" i="9"/>
  <c r="E8" i="8"/>
  <c r="E5" i="8"/>
  <c r="E4" i="8"/>
  <c r="E9" i="8" l="1"/>
  <c r="E148" i="12" l="1"/>
  <c r="E147" i="12"/>
  <c r="E146" i="12"/>
  <c r="E144" i="12"/>
  <c r="E143" i="12"/>
  <c r="E142" i="12"/>
  <c r="E140" i="12"/>
  <c r="E139" i="12"/>
  <c r="E138" i="12"/>
  <c r="E136" i="12"/>
  <c r="E135" i="12"/>
  <c r="E134" i="12"/>
  <c r="E132" i="12"/>
  <c r="E130" i="12"/>
  <c r="E128" i="12"/>
  <c r="E126" i="12"/>
  <c r="E125" i="12"/>
  <c r="E124" i="12"/>
  <c r="E123" i="12"/>
  <c r="E119" i="12"/>
  <c r="E118" i="12"/>
  <c r="E117" i="12"/>
  <c r="E116" i="12"/>
  <c r="E115" i="12"/>
  <c r="E114" i="12"/>
  <c r="E113" i="12"/>
  <c r="E111" i="12"/>
  <c r="E110" i="12"/>
  <c r="E109" i="12"/>
  <c r="E108" i="12"/>
  <c r="H106" i="12"/>
  <c r="I106" i="12" s="1"/>
  <c r="D106" i="12" s="1"/>
  <c r="E106" i="12" s="1"/>
  <c r="E105" i="12"/>
  <c r="E104" i="12"/>
  <c r="E103" i="12"/>
  <c r="H102" i="12"/>
  <c r="J102" i="12" s="1"/>
  <c r="H101" i="12"/>
  <c r="I101" i="12" s="1"/>
  <c r="D101" i="12" s="1"/>
  <c r="E101" i="12" s="1"/>
  <c r="E100" i="12"/>
  <c r="H98" i="12"/>
  <c r="I98" i="12" s="1"/>
  <c r="D98" i="12" s="1"/>
  <c r="E98" i="12" s="1"/>
  <c r="E97" i="12"/>
  <c r="E96" i="12"/>
  <c r="H95" i="12"/>
  <c r="E94" i="12"/>
  <c r="H93" i="12"/>
  <c r="I93" i="12" s="1"/>
  <c r="D93" i="12" s="1"/>
  <c r="E93" i="12" s="1"/>
  <c r="E92" i="12"/>
  <c r="H90" i="12"/>
  <c r="E89" i="12"/>
  <c r="H88" i="12"/>
  <c r="I88" i="12" s="1"/>
  <c r="D88" i="12" s="1"/>
  <c r="E88" i="12" s="1"/>
  <c r="E87" i="12"/>
  <c r="E86" i="12"/>
  <c r="H85" i="12"/>
  <c r="I85" i="12" s="1"/>
  <c r="D85" i="12" s="1"/>
  <c r="E85" i="12" s="1"/>
  <c r="E84" i="12"/>
  <c r="E83" i="12"/>
  <c r="E81" i="12"/>
  <c r="E80" i="12"/>
  <c r="E79" i="12"/>
  <c r="E78" i="12"/>
  <c r="E77" i="12"/>
  <c r="E76" i="12"/>
  <c r="E75" i="12"/>
  <c r="E74" i="12"/>
  <c r="H73" i="12"/>
  <c r="J73" i="12" s="1"/>
  <c r="K73" i="12" s="1"/>
  <c r="L73" i="12" s="1"/>
  <c r="D73" i="12" s="1"/>
  <c r="E73" i="12" s="1"/>
  <c r="E72" i="12"/>
  <c r="E71" i="12"/>
  <c r="E70" i="12"/>
  <c r="H69" i="12"/>
  <c r="I69" i="12" s="1"/>
  <c r="D69" i="12" s="1"/>
  <c r="E69" i="12" s="1"/>
  <c r="H68" i="12"/>
  <c r="I68" i="12" s="1"/>
  <c r="E68" i="12"/>
  <c r="E67" i="12"/>
  <c r="E66" i="12"/>
  <c r="E64" i="12"/>
  <c r="E63" i="12"/>
  <c r="E62" i="12"/>
  <c r="H61" i="12"/>
  <c r="I61" i="12" s="1"/>
  <c r="D61" i="12" s="1"/>
  <c r="E61" i="12" s="1"/>
  <c r="H60" i="12"/>
  <c r="J60" i="12" s="1"/>
  <c r="K60" i="12" s="1"/>
  <c r="L60" i="12" s="1"/>
  <c r="D60" i="12" s="1"/>
  <c r="E60" i="12" s="1"/>
  <c r="H59" i="12"/>
  <c r="I59" i="12" s="1"/>
  <c r="D59" i="12" s="1"/>
  <c r="E59" i="12" s="1"/>
  <c r="E58" i="12"/>
  <c r="E56" i="12"/>
  <c r="H55" i="12"/>
  <c r="I55" i="12" s="1"/>
  <c r="D55" i="12" s="1"/>
  <c r="E55" i="12" s="1"/>
  <c r="E54" i="12"/>
  <c r="E53" i="12"/>
  <c r="H52" i="12"/>
  <c r="J52" i="12" s="1"/>
  <c r="K52" i="12" s="1"/>
  <c r="L52" i="12" s="1"/>
  <c r="D52" i="12" s="1"/>
  <c r="E52" i="12" s="1"/>
  <c r="E51" i="12"/>
  <c r="E50" i="12"/>
  <c r="E48" i="12"/>
  <c r="E47" i="12"/>
  <c r="E46" i="12"/>
  <c r="E45" i="12"/>
  <c r="E44" i="12"/>
  <c r="E43" i="12"/>
  <c r="E35" i="12"/>
  <c r="E33" i="12"/>
  <c r="D32" i="12"/>
  <c r="D34" i="12" s="1"/>
  <c r="E34" i="12" s="1"/>
  <c r="E31" i="12"/>
  <c r="E30" i="12"/>
  <c r="E29" i="12"/>
  <c r="D28" i="12"/>
  <c r="E28" i="12" s="1"/>
  <c r="E26" i="12"/>
  <c r="E25" i="12"/>
  <c r="E24" i="12"/>
  <c r="E23" i="12"/>
  <c r="H22" i="12"/>
  <c r="I22" i="12" s="1"/>
  <c r="D22" i="12" s="1"/>
  <c r="E22" i="12" s="1"/>
  <c r="E21" i="12"/>
  <c r="E20" i="12"/>
  <c r="E19" i="12"/>
  <c r="E18" i="12"/>
  <c r="E17" i="12"/>
  <c r="E16" i="12"/>
  <c r="H14" i="12"/>
  <c r="E13" i="12"/>
  <c r="H12" i="12"/>
  <c r="I12" i="12" s="1"/>
  <c r="D12" i="12" s="1"/>
  <c r="E12" i="12" s="1"/>
  <c r="H11" i="12"/>
  <c r="I11" i="12" s="1"/>
  <c r="E11" i="12"/>
  <c r="E10" i="12"/>
  <c r="E9" i="12"/>
  <c r="E8" i="12"/>
  <c r="H7" i="12"/>
  <c r="H6" i="12"/>
  <c r="I6" i="12" s="1"/>
  <c r="D6" i="12" s="1"/>
  <c r="E6" i="12" s="1"/>
  <c r="E5" i="12"/>
  <c r="E3" i="12"/>
  <c r="E48" i="11"/>
  <c r="E47" i="11"/>
  <c r="E46" i="11"/>
  <c r="E45" i="11"/>
  <c r="H43" i="11"/>
  <c r="I43" i="11" s="1"/>
  <c r="D43" i="11" s="1"/>
  <c r="E43" i="11" s="1"/>
  <c r="E42" i="11"/>
  <c r="E41" i="11"/>
  <c r="E40" i="11"/>
  <c r="H39" i="11"/>
  <c r="H38" i="11"/>
  <c r="I38" i="11" s="1"/>
  <c r="D38" i="11" s="1"/>
  <c r="E38" i="11" s="1"/>
  <c r="E37" i="11"/>
  <c r="H35" i="11"/>
  <c r="I35" i="11" s="1"/>
  <c r="D35" i="11" s="1"/>
  <c r="E35" i="11" s="1"/>
  <c r="E34" i="11"/>
  <c r="E33" i="11"/>
  <c r="H32" i="11"/>
  <c r="E31" i="11"/>
  <c r="H30" i="11"/>
  <c r="I30" i="11" s="1"/>
  <c r="D30" i="11" s="1"/>
  <c r="E30" i="11" s="1"/>
  <c r="E29" i="11"/>
  <c r="H27" i="11"/>
  <c r="J27" i="11" s="1"/>
  <c r="K27" i="11" s="1"/>
  <c r="L27" i="11" s="1"/>
  <c r="D27" i="11" s="1"/>
  <c r="E27" i="11" s="1"/>
  <c r="E26" i="11"/>
  <c r="H25" i="11"/>
  <c r="I25" i="11" s="1"/>
  <c r="D25" i="11" s="1"/>
  <c r="E25" i="11" s="1"/>
  <c r="E24" i="11"/>
  <c r="E23" i="11"/>
  <c r="H22" i="11"/>
  <c r="I22" i="11" s="1"/>
  <c r="D22" i="11" s="1"/>
  <c r="E22" i="11" s="1"/>
  <c r="E21" i="11"/>
  <c r="E20" i="11"/>
  <c r="E18" i="11"/>
  <c r="E17" i="11"/>
  <c r="E16" i="11"/>
  <c r="E15" i="11"/>
  <c r="E14" i="11"/>
  <c r="E13" i="11"/>
  <c r="E12" i="11"/>
  <c r="E11" i="11"/>
  <c r="H10" i="11"/>
  <c r="E9" i="11"/>
  <c r="E8" i="11"/>
  <c r="E7" i="11"/>
  <c r="H6" i="11"/>
  <c r="I6" i="11" s="1"/>
  <c r="D6" i="11" s="1"/>
  <c r="E6" i="11" s="1"/>
  <c r="H5" i="11"/>
  <c r="I5" i="11" s="1"/>
  <c r="E5" i="11"/>
  <c r="E4" i="11"/>
  <c r="E3" i="11"/>
  <c r="E4" i="10"/>
  <c r="E13" i="10"/>
  <c r="E12" i="10"/>
  <c r="E6" i="10"/>
  <c r="E9" i="10"/>
  <c r="E8" i="10"/>
  <c r="E25" i="10"/>
  <c r="E24" i="10"/>
  <c r="E17" i="10"/>
  <c r="E16" i="10"/>
  <c r="E22" i="10"/>
  <c r="E21" i="10"/>
  <c r="E63" i="10"/>
  <c r="E60" i="10"/>
  <c r="E58" i="10"/>
  <c r="E56" i="10"/>
  <c r="E64" i="10"/>
  <c r="E38" i="10"/>
  <c r="D35" i="10"/>
  <c r="E35" i="10" s="1"/>
  <c r="E67" i="10"/>
  <c r="E30" i="10"/>
  <c r="E66" i="10"/>
  <c r="D28" i="10"/>
  <c r="E28" i="10" s="1"/>
  <c r="E40" i="9"/>
  <c r="E29" i="9"/>
  <c r="E15" i="9"/>
  <c r="E17" i="9"/>
  <c r="E10" i="9"/>
  <c r="E9" i="9"/>
  <c r="E39" i="9"/>
  <c r="E37" i="9"/>
  <c r="E38" i="9"/>
  <c r="J14" i="12" l="1"/>
  <c r="K14" i="12" s="1"/>
  <c r="L14" i="12" s="1"/>
  <c r="D14" i="12" s="1"/>
  <c r="E14" i="12" s="1"/>
  <c r="E149" i="12"/>
  <c r="J7" i="12"/>
  <c r="K7" i="12" s="1"/>
  <c r="L7" i="12" s="1"/>
  <c r="D7" i="12" s="1"/>
  <c r="E7" i="12" s="1"/>
  <c r="K102" i="12"/>
  <c r="L102" i="12" s="1"/>
  <c r="D102" i="12" s="1"/>
  <c r="E102" i="12" s="1"/>
  <c r="E32" i="12"/>
  <c r="J90" i="12"/>
  <c r="K90" i="12" s="1"/>
  <c r="L90" i="12" s="1"/>
  <c r="D90" i="12" s="1"/>
  <c r="E90" i="12" s="1"/>
  <c r="J95" i="12"/>
  <c r="K95" i="12" s="1"/>
  <c r="L95" i="12" s="1"/>
  <c r="D95" i="12" s="1"/>
  <c r="E95" i="12" s="1"/>
  <c r="J39" i="11"/>
  <c r="K39" i="11" s="1"/>
  <c r="L39" i="11" s="1"/>
  <c r="D39" i="11" s="1"/>
  <c r="E39" i="11" s="1"/>
  <c r="J10" i="11"/>
  <c r="K10" i="11" s="1"/>
  <c r="L10" i="11" s="1"/>
  <c r="D10" i="11" s="1"/>
  <c r="E10" i="11" s="1"/>
  <c r="J32" i="11"/>
  <c r="K32" i="11" s="1"/>
  <c r="L32" i="11" s="1"/>
  <c r="D32" i="11" s="1"/>
  <c r="E32" i="11" s="1"/>
  <c r="E34" i="10"/>
  <c r="E120" i="12" l="1"/>
  <c r="E150" i="12" s="1"/>
  <c r="E157" i="12" s="1"/>
  <c r="M150" i="12" l="1"/>
  <c r="E7" i="8"/>
  <c r="E15" i="8" s="1"/>
</calcChain>
</file>

<file path=xl/sharedStrings.xml><?xml version="1.0" encoding="utf-8"?>
<sst xmlns="http://schemas.openxmlformats.org/spreadsheetml/2006/main" count="481" uniqueCount="230">
  <si>
    <t>№</t>
  </si>
  <si>
    <t>Стеллаж металлический</t>
  </si>
  <si>
    <t>Стол проборазделочный. Габариты (Ш×Г×В): 1500×850×1650 мм; конструкция: рама из низкоуглеродистой стали с порошковым покрытием; подключение: фланец для подключения к системе аспирации; оснащение: встроенное LED-освещение рабочей зоны, электрическая розетка</t>
  </si>
  <si>
    <t xml:space="preserve">Стол для тиглей на 25 позиций (Pot Bench) </t>
  </si>
  <si>
    <t>Тележка для разлива на 25 позиций (Pouring trolley)</t>
  </si>
  <si>
    <t>Тележка для тиглей на 25 позиций (Hot Pot Trolley)</t>
  </si>
  <si>
    <t>Тележка для хранения тиглей на 25 позиций (Pot Storage Trolley)</t>
  </si>
  <si>
    <t>Стойка для охлаждения капелей (Cupel Cooling Rack)</t>
  </si>
  <si>
    <t>Форма для разлива на 5 позиций (Pouring Mould – 5 position)</t>
  </si>
  <si>
    <t>Крышка формы (Mould Cover) на 25 позиций × 65 г тиглей</t>
  </si>
  <si>
    <t>Tools Rack, Crucible Tong – 5 position × 65 g, Furnace Rake, Furnace Shovel, Furnace Brush, 50 place cupel fork</t>
  </si>
  <si>
    <t>Водонагреватель накопительный электрический, объём 30–75 л</t>
  </si>
  <si>
    <t>Весы аналитические предел взвешивания:  предел взвешивания: до 120–220 г; дискретность: 0,1 мг (0,0001 г); класс точности: высокий (I); калибровка: внутренняя / внешняя; повторяемость: ≤0,1 мг;</t>
  </si>
  <si>
    <t>Сейф металлический для прекурсоров 500х350х330 мм</t>
  </si>
  <si>
    <t xml:space="preserve">Набор ЛАРХВ SKA-120 </t>
  </si>
  <si>
    <t>Склад (зона хранения реагентов)</t>
  </si>
  <si>
    <t>Кабинет Начальника</t>
  </si>
  <si>
    <t>Кресло</t>
  </si>
  <si>
    <t>Станция для промывки глаз</t>
  </si>
  <si>
    <t>Атомно-абсорбционный спектрометр 240 FS, Agilent Technologes</t>
  </si>
  <si>
    <t>459</t>
  </si>
  <si>
    <t>Стеллаж 1500х600х1800. Регулируемые по высоте опоры, 5 полок</t>
  </si>
  <si>
    <t>CAS DL100 N — электронные напольные весы с платформой из нержавеющей стали, предназначенные для взвешивания грузов до 100 кг. Оснащены ярким LED-дисплеем, функциями тарирования, суммирования и автоматической установки нуля. Подходят для складов, производств, торговли и лабораторий благодаря высокой точности, надежной конструкции и простоте эксплуатации.</t>
  </si>
  <si>
    <t>Вибрационный ситовой шейкер, с возможностью сухого и мокрого просеивания. пр-во Китай (в комплекте с ситами)
Габариты (Ш×Г×В мм): 400×480×240; диапазон: 20 мкм-25 мм; максимальная пропускная способность: 3 кг.</t>
  </si>
  <si>
    <t>Ультразвуковая ванна UC 60VAD, производства Biobase.</t>
  </si>
  <si>
    <t>1950</t>
  </si>
  <si>
    <t>217</t>
  </si>
  <si>
    <t>1642</t>
  </si>
  <si>
    <t>Стол для весов (1200х600х900), столешница Постформинг. Основание: сварной рамный каркас, выполненный из стального профиля, окрашенного порошковой краской с фактурой шагреневой кожи. Регулируемые по высоте опоры. Столешница изготовлена из постформинга, имеет вырез, в который вставлен стол для весов 600х400х750.</t>
  </si>
  <si>
    <t>Локальная система аспирации с фильтровальной установкой PLS AirFlow JZ08, пр-во Китай. Параметр Значение Производительность по воздуху 10 000 м³/ч Мощность 11 кВт Напряжение 380 В Количество фильтрующих картриджей 8 шт. (при необходимости можно приобрести дополнительные) Размер фильтра 325 × 1000 мм Метод очистки фильтрующего картриджа Импульсная очистка Габаритные размеры 1100 × 1700 × 3500 мм</t>
  </si>
  <si>
    <t>Щековая дробилка JC7, производства PowTeq. Размер подачи до 110 мм Конечная тонкость продукта 95% около 2 мм Ширина зазора регулируется от 0 до 10 мм Производительность до 180 кг/час (в зависимости от материала) Скорость вращения 740 об/мин Объем сборного ящика 8 л Номинальная мощность 7,5 кВт Питание 380 В, 50 Гц Габаритные размеры 935 × 600 × 1087 мм Масса нетто 920 кг</t>
  </si>
  <si>
    <t>Щековая дробилка с ротационным делителем PLS Titan CJCR70, пр-во Китай</t>
  </si>
  <si>
    <t>Вибрационная дисковая мельница, PLS_Pulse_Mill_2000_PC, пр-во Китай
Размер загружаемого материала: ＜20 мм Масса загружаемого материала: 1600г × 1
Ёмкость размольных чаш: 2000 г × 1 Размер выходного материала: 75 мкм Мощность: 2.2 кВт Напряжение: 3 фазы, 380 В, 50 Гц</t>
  </si>
  <si>
    <t>Разделитель образцов серии SD, производства PowTeq.
Габариты (ШхГхВ мм): ~ 300×200×250; тип: рифлёный делитель; материал: нержавеющая сталь; количество желобов: 8–24</t>
  </si>
  <si>
    <t>Компрессор воздушный поршневой/безмасляный, промышленного исполнения Габариты (Ш×Г×В мм): 1150×500×1000; производительность: 300-600 л/мин; давление: до 10 бар; ресивер: до 100 л; уровень шума: ≤70–80 дБ; тип: безмасляный (предпочтительно для лаборатории)Выход: 1/2" +1/4"</t>
  </si>
  <si>
    <t>1383</t>
  </si>
  <si>
    <t>Стол проборазделочный с возможностью подключения к вытяжной системе. Габариты печи (Ш × Г × В) 1800 × 815 × 1650 мм</t>
  </si>
  <si>
    <t>Купеляционная печь 
380 В, 50 Гц, 3 фазы, 17 кВт, многоотводной. Внутренние размеры: 450x250x145 мм. Количество и размер пар: 50 шт. 6А/7А/7А. Нагревательный элемент: 12 шт., карбид кремния. Термопара К-типа. Электронный автоматический контроль температуры, до 1200°C.</t>
  </si>
  <si>
    <t>Ручное оборудование для безопасной транспортировки и загрузки тиглей в печи. Усиленная конструкция из бесшовных стальных труб. Специальная вилка с оптимальным углом захвата для надёжной фиксации тиглей. Цепной подъёмный механизм повышенной прочности Прозрачный теплоизоляционный экран для защиты оператора. Эргономичная рукоятка с функцией автоматического возврата. Удлинённая педаль подъёма для удобства эксплуатации. Износостойкое вспомогательное колесо. Поворотные задние колёса с тормозами</t>
  </si>
  <si>
    <t>Стол для отбивки</t>
  </si>
  <si>
    <t>СИЗы (перчатки, маска, защитный халат)</t>
  </si>
  <si>
    <t>Огнетушитель</t>
  </si>
  <si>
    <t>Шкаф металлический общелабораторный (800х450х1800). Шкаф установлен на цельносварное основание из стального профиля прямоугольного сечения, покрытого полимерным покрытием, на регулируемых опорах. Корпус шкафа и фасады - из листового металла, покрытого полимерным покрытием. Релинговые ручки. Дверные петли Blum (Австрия). Шкаф имеет два отделения: верхнее - с вертикальной перегородкой посередине, делящей её на две части: три съемные полки; нижнее с вертикальной перегородкой посередине: одна съемная полка.</t>
  </si>
  <si>
    <t>Тумба подкатная с 3 ящиками (400х470х610)</t>
  </si>
  <si>
    <t>Весы платформенные электронные технические, промышленного исполнения. Предел взвешивания: до 60 кг; дискретность: 10–20 г; платформа: усиленная, нержавеющая или рифлёная сталь, ~400×500 мм; класс точности: средний (III); функции: тарирование, стабилизация показаний; средство измерений внесено в Государственный реестр средств измерений Республики Казахстан (ГСИ РК).</t>
  </si>
  <si>
    <t xml:space="preserve">Спектрометр оптико-эмиссионный Agilent 5800 </t>
  </si>
  <si>
    <t>Смеситель трёхмерного перемешивания «Пьяная бочка» PLS50 DM, пр-во Китай</t>
  </si>
  <si>
    <t>Шкаф для реактивов (800х450х2000). Шкаф установлен на цельносварное основание из стального профиля прямоугольного сечения, покрытого полимерным покрытием, на регулируемых опорах. Корпус шкафа и фасады - ЛДСП 18мм, кромка - ПВХ 2мм.   Релинговые ручки. Дверные петли Blum (Австрия). Шкаф имеет два отделения: верхнее - с вертикальной перегородкой посередине, делящей её на две части: три съемные полки; нижнее - с вертикальной перегородкой посередине: одна съемная полка. В верхней горизонтальной стенке шкафа - фланец D=200 мм для подключения к вытяжной системе. В каждой двери замок.</t>
  </si>
  <si>
    <t>Вытяжной шкаф для работы с агрессивными веществами. Габариты (Ш×Г×В мм): 1500х700х2250 или 1500×855×2250; 
Столешница: Керамическая плитка</t>
  </si>
  <si>
    <t xml:space="preserve">Система растворения проб HotBlock на 54-позиции В комплект входит: Регулятор температуры-1 шт Полипропиленовые пробирки для разложения 50 мл, 500 шт/уп-1уп Штатив для полипропиленовых пробирок-2 шт </t>
  </si>
  <si>
    <t>Шкаф металлический для реактивов (400х450х2000)</t>
  </si>
  <si>
    <t xml:space="preserve">Аварийный душ-фонтан с педалью	</t>
  </si>
  <si>
    <t>Аптечка</t>
  </si>
  <si>
    <t>Шкаф для газовых баллонов
Габариты (Ш×Г×В мм): 600×400×1800; 
корпус шкафа - стальной каркас, покрытый полимерным покрытием. 
Регулируемые опоры, замок. Держатель для двух баллонов.</t>
  </si>
  <si>
    <t>Система очистки газов ProLabPurifier
Система очистки обеспечит удаление загрязняющих веществ в процессе работы газов. Cистема имеет удобные сменные картриджи с визуальным индикатором. Система ProLabPurifier состоит из фильтров, соединенных последовательно, для уменьшения примесей, повреждающих колонку.</t>
  </si>
  <si>
    <t>Стол для весов (1200х600х900), столешница Постформинг. Основание: сварной рамный каркас, выполненный из стального профиля, окрашенного порошковой краской с фактурой шагреневой кожи. Регулируемые по высоте опоры. Столешница изготовлена из постформинга,  имеет вырез, в который вставлен стол для весов 600х400х750.</t>
  </si>
  <si>
    <t>Капели магнезитовые тип 7A (200 шт/упаковка) или эквивалент
нужны варианты на 6 мес и на 120 мес 
1 сутки - 180 шт , на 6 мес 32 000 (160 коробок)
1 сутки - 180 шт , на 12 мес 64 000 (320 коробок)</t>
  </si>
  <si>
    <r>
      <t xml:space="preserve">Тигли шамотные 65 г (1400 шт/ящик) или эквивалент
нужны варианты на 6 мес и на 120 мес 
1 сутки - 36 шт , на 6 мес 32 000/5 = </t>
    </r>
    <r>
      <rPr>
        <sz val="12"/>
        <color rgb="FFFF0000"/>
        <rFont val="Montserrat"/>
        <charset val="204"/>
      </rPr>
      <t>6400 (5  коробок)</t>
    </r>
    <r>
      <rPr>
        <sz val="12"/>
        <color theme="1"/>
        <rFont val="Montserrat"/>
        <charset val="204"/>
      </rPr>
      <t xml:space="preserve">
1 сутки - 180 шт , на 12 мес 64 000/5 = </t>
    </r>
    <r>
      <rPr>
        <sz val="12"/>
        <color rgb="FFFF0000"/>
        <rFont val="Montserrat"/>
        <charset val="204"/>
      </rPr>
      <t>12 800  (10  коробок)</t>
    </r>
  </si>
  <si>
    <t>Стол пристенный  (1200х850х750), столешница Trespa Top Lab Plus</t>
  </si>
  <si>
    <t>Капели магнезитовые тип 7A (200 шт/упаковка) или эквивалент (запас на 3 месяца)</t>
  </si>
  <si>
    <t>Тигли шамотные 65 г (1400 шт/ящик) или эквивалент  (запас на 3 месяца)</t>
  </si>
  <si>
    <t>Ультрамикровесы электронные , предел взвешивания: Предел взвешивания: до 6,1 г; дискретность: 0,0001 мг; класс точности: специальный (I); Автоматическая внутренняя калибровка, размер чаши Ø 30 мм, габариты 340 × 139 × 129 мм, средство измерений внесено в Государственный реестр средств измерений Республики Казахстан (ГСИ РК).</t>
  </si>
  <si>
    <t>Набор ЛАРХВ SKA-30 лабораторный (для удаления разливов агрессивных веществ)</t>
  </si>
  <si>
    <t>Плавильная печь (запасные части под замену нагревательного блока)</t>
  </si>
  <si>
    <t>Купеляционная печь (запасные части под замену нагревательного блока)</t>
  </si>
  <si>
    <t>заменить на цену проборазделочного стола, изготовим сами</t>
  </si>
  <si>
    <t>Стул с подлокотником, поворотный механизм черный 34х72 см</t>
  </si>
  <si>
    <t>Ссылка</t>
  </si>
  <si>
    <t>Разместить такой же, как в позиции 20. Стол проборазделочный с возможностью подключения к вытяжной системе. Габариты печи (Ш × Г × В) 1800 × 815 × 1650 мм</t>
  </si>
  <si>
    <t>Скоректирован навесы до 600 г</t>
  </si>
  <si>
    <t>УДАЛИТЬ</t>
  </si>
  <si>
    <t xml:space="preserve">заменила </t>
  </si>
  <si>
    <t>сумма скоректировалась Аманжол</t>
  </si>
  <si>
    <t>Скруббер</t>
  </si>
  <si>
    <t>добавили</t>
  </si>
  <si>
    <t xml:space="preserve">Прецизионные весы Entris II BCA6202 (тех.характеристики НПВ 6 200 г, дискретность 10 мг, внутренняя автоматическая калибровка: isoCAL, размер чаши 182х182 мм, интерфейс USB С, RS-232, габариты 219 × 317 × 94 мм) </t>
  </si>
  <si>
    <t>Стол для ПК. Стол имеет тумбу для установки системного блока и открытое отделение с выдвижной полкой для клавиатуры. Тумба установлена на цельносварное основание из стального профиля прямоугольного сечения, покрытого полимерным покрытием, на регулируемых опорах. Корпус стола - ЛДСП 18мм, кромка - ПВХ 2мм. Столешница - Керамогранит ГРЕСС</t>
  </si>
  <si>
    <t>Стол-мойка (1200х600х900), врезная чаша из полипропилена (500х400х250)
Тумба стола имеет цельносварной рамный каркас, выполненный из стального профиля, окрашенного порошковой краской с фактурой шагреневой кожи. Регулируемые по высоте опоры. Стол имеет одно отделение за двумя распашными дверями. Двери изготовлены из металла, покрытого полимерным покрытием. Смеситель. Столешница с мойкой: нерж.сталь с врезной чашей из полипропилена.</t>
  </si>
  <si>
    <t>Стол пристенный  (1500х850х750), столешница Керамогранит ГРЕСС</t>
  </si>
  <si>
    <t>Стол передвижной (600х500х750). Каркас стола - цельносварное основание из стального профиля прямоугольного сечения, покрытого полимерным покрытием, на колесных опорах (две из которых - со стопорным механизмом). Стол имеет съёмную полку, изготовленную из пластика Trespa. Столешница керамогранит ГРЕСС</t>
  </si>
  <si>
    <t>Прецизионные весы Entris II BCA6202 (тех.характеристики НПВ 6 200 г, дискретность 10 мг, внутренняя автоматическая калибровка: isoCAL, размер чаши 182х182 мм, интерфейс USB С, RS-232, габариты 219 × 317 × 94 мм)</t>
  </si>
  <si>
    <t>заменила</t>
  </si>
  <si>
    <t>Стол передвижной (600х500х750), столешница. Каркас стола - цельносварное основание из стального профиля прямоугольного сечения, покрытого полимерным покрытием, на колесных опорах (две из которых - со стопорным механизмом). Стол имеет съёмную полку, изготовленную из пластика Trespa. Столешница керамогранит ГРЕСС</t>
  </si>
  <si>
    <t>Наименование</t>
  </si>
  <si>
    <t>Кол-во</t>
  </si>
  <si>
    <t>Цена, USD без НДС</t>
  </si>
  <si>
    <t>Итоговая цена, USD без НДС</t>
  </si>
  <si>
    <r>
      <t xml:space="preserve">ЗАМЕНИТЬ на Весы CAS модель </t>
    </r>
    <r>
      <rPr>
        <b/>
        <sz val="12"/>
        <color rgb="FF000000"/>
        <rFont val="Montserrat"/>
        <charset val="204"/>
      </rPr>
      <t>PB 100</t>
    </r>
    <r>
      <rPr>
        <sz val="12"/>
        <color rgb="FF000000"/>
        <rFont val="Montserrat"/>
        <charset val="204"/>
      </rPr>
      <t xml:space="preserve"> (KZ.02.02.05753-2017)</t>
    </r>
  </si>
  <si>
    <r>
      <t xml:space="preserve">Sartorius Entris </t>
    </r>
    <r>
      <rPr>
        <b/>
        <sz val="12"/>
        <color theme="1"/>
        <rFont val="Montserrat"/>
        <charset val="204"/>
      </rPr>
      <t>BCE6202
KZ.02.01.03074-2024</t>
    </r>
  </si>
  <si>
    <r>
      <t xml:space="preserve">ЗАМЕНИТЬ Sartorius Entris </t>
    </r>
    <r>
      <rPr>
        <b/>
        <sz val="12"/>
        <color theme="1"/>
        <rFont val="Montserrat"/>
        <charset val="204"/>
      </rPr>
      <t>BCE622
KZ.02.01.03074-2024</t>
    </r>
  </si>
  <si>
    <r>
      <t xml:space="preserve">ЗАМЕНИТЬ на Sartorius Entris </t>
    </r>
    <r>
      <rPr>
        <b/>
        <sz val="12"/>
        <color theme="1"/>
        <rFont val="Montserrat"/>
        <charset val="204"/>
      </rPr>
      <t>BCE224
KZ.02.01.03074-2024</t>
    </r>
  </si>
  <si>
    <t>Комплект инструментов для проборазделки: В состав поставки входит комплект ручного инструмента, необходимого для выполнения операций пробоподготовки и проборазделки, включая: совки, шпатели, щётки, металлические лопатки, делители проб, а также прочие вспомогательные принадлежности, обеспечивающие корректную и безопасную работу с образцами.</t>
  </si>
  <si>
    <t>Проработка перечня нормативных документов для выполнения вспомогательных аналитических работ.</t>
  </si>
  <si>
    <t>Обучение персонала: проводится обучение сотрудников Заказчика по эксплуатации оборудования, включая теоретическую и практическую подготовку, а также требования по технике безопасности. Обучение выполняется специалистами Поставщика на площадке Заказчика или в учебном центре с выдачей сертификатов.</t>
  </si>
  <si>
    <t>Проводится настройка и апробация 1процессов пробоподготовки и проборазделки в соответствии с требованиями ГОСТ 14180-80, с обеспечением репрезентативности и воспроизводимости результатов.</t>
  </si>
  <si>
    <t>Включено</t>
  </si>
  <si>
    <t>УСЛУГИ</t>
  </si>
  <si>
    <t>Стул с поворотный механизм, черный</t>
  </si>
  <si>
    <t>ИТОГО ЛАБОРАТОРНОЕ ОБОРУДОВАНИЕ И МЕБЕЛЬ (USD без НДС)</t>
  </si>
  <si>
    <t>ОБЩАЯ СУММА: МЕБЕЛЬ+АДМ.МОДУЛЬ (USD без НДС)</t>
  </si>
  <si>
    <t>ИТОГО МЕБЕЛЬ ДЛЯ АДМИНИСТРАТИВНОГО БЛОКА(USD без НДС)</t>
  </si>
  <si>
    <t>ОБЩАЯ СУММА МЛК+АДМ.БЛОК (USD без НДС)</t>
  </si>
  <si>
    <t>на 50 шт за одну загрузку</t>
  </si>
  <si>
    <t>добавил</t>
  </si>
  <si>
    <t>увеличил кол-во</t>
  </si>
  <si>
    <t>Лабораторная нагревательная плита производства LabTech (Италия) с рабочей поверхностью 40×30 см и диапазоном нагрева от температуры окружающей среды до 350 °C. 
Обеспечивает равномерный нагрев, оснащена устойчивой к химическим воздействиям поверхностью и удобной системой регулировки температуры. Подходит для лабораторных исследований, подготовки проб и общелабораторных работ.</t>
  </si>
  <si>
    <t>Сушильный шкаф лабораторный конвекционного, производства Biobase. Габариты (Ш×Г×В мм): 690×615×630; 
тип: конвекционный (принудительная циркуляция воздуха); 
температурный диапазон: от окружающей +10 до 300 °C; 
объём камеры: 75 л; 
точность поддержания температуры: ±1 °C;</t>
  </si>
  <si>
    <t>Добавил</t>
  </si>
  <si>
    <t>Сушильный шкаф PLS_DryCore_5000, пр-во Китай</t>
  </si>
  <si>
    <t>Стол-мойка (670х600х900), врезная чаша из полипропилена (500х400х250)
Тумба стола имеет цельносварной рамный каркас, выполненный из стального профиля, окрашенного порошковой краской с фактурой шагреневой кожи. Регулируемые по высоте опоры. Стол имеет одно отделение за двумя распашными дверями. Двери изготовлены из металла, покрытого полимерным покрытием. Смеситель. Столешница с мойкой: нерж.сталь с врезной чашей из полипропилена.</t>
  </si>
  <si>
    <t>ЗОНА ПРОБОПОДГОТОВКИ №1</t>
  </si>
  <si>
    <t xml:space="preserve">ЗОНА ПРИЕМКИ </t>
  </si>
  <si>
    <t>ЗОНА ПРОБОПОДГОТОВКИ №2</t>
  </si>
  <si>
    <t>ЗОНА ПЛАВЛЕНИЯ</t>
  </si>
  <si>
    <t>ЗОНА ВЕСОВОЙ (Плавильное отделение)</t>
  </si>
  <si>
    <t>ЗОНА ШИХТОВАНИЯ  (Плавильное отделение)</t>
  </si>
  <si>
    <t>АНАЛИТИЧЕСКИЙ ЗАЛ</t>
  </si>
  <si>
    <t>ЗОНА ICP-OES</t>
  </si>
  <si>
    <t>ЗОНА ВЕСОВОЙ (Аналитика)</t>
  </si>
  <si>
    <t>ЗОНА ААS</t>
  </si>
  <si>
    <t xml:space="preserve">МОЕЧНАЯ ЗОНА </t>
  </si>
  <si>
    <t xml:space="preserve">ПРЕКУРСОРНАЯ </t>
  </si>
  <si>
    <t xml:space="preserve">АДМИНИСТРАТИВНЫЙ БЛОК </t>
  </si>
  <si>
    <t>Кухонный гарнитур (2600Х600) с раковиной</t>
  </si>
  <si>
    <t>Холодильник</t>
  </si>
  <si>
    <t>Стол обеденный (1500х600)</t>
  </si>
  <si>
    <t xml:space="preserve">Стулья </t>
  </si>
  <si>
    <t>САНУЗЛЫ (МУЖСКОЙ И ЖЕНСИКЙ)</t>
  </si>
  <si>
    <t xml:space="preserve">Не включено в стоимость </t>
  </si>
  <si>
    <t>СКЛАД ХОЗЯЙСТВЕННО-БЫТОВОГО НАЗНАЧЕНИЯ</t>
  </si>
  <si>
    <t>СКЛАД ПРОИЗВОДСТВЕННОГО НАЗНАЧЕНИЯ</t>
  </si>
  <si>
    <t>Стеллаж металлический (1600х800х1800). Регулируемые по высоте опоры, 5 полок</t>
  </si>
  <si>
    <t>РАЗДЕВАЛКА ЖЕНСКАЯ</t>
  </si>
  <si>
    <t>РАЗДЕВАЛКА МУЖЧКАЯ</t>
  </si>
  <si>
    <t>Шкаф для одежды (2400х600х2000)</t>
  </si>
  <si>
    <t>Пуф (1450х400х450)</t>
  </si>
  <si>
    <t>Зеркало (800х400)</t>
  </si>
  <si>
    <t>КАБИНЕТ ИНЖЕНЕРА</t>
  </si>
  <si>
    <t>Стол письменный (Г-образный) с тумбой (1800х800, 1000х500)</t>
  </si>
  <si>
    <t>Шкаф для одежды (1200х600х2000)</t>
  </si>
  <si>
    <t>Плавильная печь  PLS Fusion X3042
Электрический тип, 380 В, 50 Гц, 3 фазы, 34–45 кВт; трансформатор, 3 фазы, 50 кВА; рабочая зона, мм: 685 × 665 × 245; количество и размер тиглей: 30 шт. по 50/65 г или 42 шт. по 30 г / 40 г / 55 г; нагревательный элемент: карбид кремния; термопара типа K; пневматический привод открывания двери; электронное автоматическое регулирование температуры, до 1200 °C</t>
  </si>
  <si>
    <t>Островной стол низкий (1200х1500х750) Trespa</t>
  </si>
  <si>
    <t>Муфельная печь MX8-12TP, BioBase (Китай). 
Объем: 8 л Макс. температура: 1200℃ Точность температуры: ±1 °C 
Внутренние размеры (Ш×Г×В): 200×300×120 мм
Внешние размеры (Ш×Г×В):500×580×610 мм
Вес брутто: 84</t>
  </si>
  <si>
    <t>Отработка процессов определения золота в соответствии с СТ РК 3492-2019 и СТ РК 2.636-2019: проводится настройка, демонстрация и практическая отработка процессов подготовки проб и определения содержания золота пробирно-атомно-абсорбционным и пробирно-гравиметрическим методами с обеспечением корректности выполнения методик и воспроизводимости результатов.</t>
  </si>
  <si>
    <t>Стол лля ПК. Стол имеет тумбу для установки системного блока и открытое отделение с выдвижной полкой для клавиатуры. Тумба установлена на цельносварное основание из стального профиля прямоугольного сечения, покрытого полимерным покрытием, на регулируемых опорах. Корпус стола - ЛДСП 18мм, кромка - ПВХ 2мм. Столешница - Trespa Top Lab Base</t>
  </si>
  <si>
    <t>нужно подобрать альтернативку дешевле по цене</t>
  </si>
  <si>
    <t>Весы Cas AD-5 настольные фасовочные электронные до 5кг общего назначения</t>
  </si>
  <si>
    <t xml:space="preserve">Примечание. В графе "Кол-во" необходимо отметить нужно количество оборудования/мебели для комплектации Проекта </t>
  </si>
  <si>
    <t>Сушильный шкаф PLS_DryCore_1000, пр-во Китай</t>
  </si>
  <si>
    <t>ЗОНА 1. ПРИЕМКА ПРОБ</t>
  </si>
  <si>
    <t>Оборудование</t>
  </si>
  <si>
    <t>Лабораторная мебель</t>
  </si>
  <si>
    <t>ЗОНА 2. ПОДГОТОВКА ПРОБ К АНАЛИЗУ</t>
  </si>
  <si>
    <t>1. Сушильный шкаф</t>
  </si>
  <si>
    <t>2. Дробление</t>
  </si>
  <si>
    <t>3. Деление проб</t>
  </si>
  <si>
    <t>4. Измельчение</t>
  </si>
  <si>
    <t>5. Контроль крупности</t>
  </si>
  <si>
    <t>6. Взвешивание</t>
  </si>
  <si>
    <t>7. Аспирация</t>
  </si>
  <si>
    <t>8. Вспомогательное оборудование</t>
  </si>
  <si>
    <t>9. Мебель</t>
  </si>
  <si>
    <t>Мощность, кВт</t>
  </si>
  <si>
    <t>47?5</t>
  </si>
  <si>
    <t>Технические характеристики</t>
  </si>
  <si>
    <t xml:space="preserve">Сушильный шкаф PLS_DryCore_2500, пр-во Китай
</t>
  </si>
  <si>
    <t>Общая мощность: 20 кВт
Двигатель циркуляционного насоса: 1,5 кВт
Двигатель осушителя: 0,37 кВт
Мощность нагрева: 18 кВт
Диапазон нагрева: от комнатной температуры +10 до 150 °C
Точность поддержания температуры: ±1 °C
Вместимость: 2500 л
Внешние размеры (Ш × Г × В): 1915 × 1265 × 2350 мм
Внутренние размеры (Ш*Г*В): 1515×1000×1695 мм
Распределительный шкаф: Ш*Г*В = 650×300×1660 мм
Количество тележек: 2 ПО 7 ПОЛОК
Материал: нержавеющая сталь
Способ нагрева: электрический
Источник питания: AC380V/50 Гц/3 фазы
Способ нагрева: нагрев с помощью электрических тепловых трубок. Вес нетто: 920 кг</t>
  </si>
  <si>
    <t xml:space="preserve">Щековая дробилка JC7, производства PowTeq. </t>
  </si>
  <si>
    <t>Размер подачи до 110 мм Конечная тонкость продукта 95% около 2 мм Ширина зазора регулируется от 0 до 10 мм Производительность до 180 кг/час (в зависимости от материала) Скорость вращения 740 об/мин Объем сборного ящика 8 л Номинальная мощность 7,5 кВт Питание 380 В, 50 Гц Габаритные размеры 935 × 600 × 1087 мм Масса нетто 920 кг</t>
  </si>
  <si>
    <t>Размер загружаемого материала: ＜20 мм
Масса загружаемого материала: 1600г × 1
Ёмкость размольных чаш: 2000 г × 1
Размер выходного материала: 75 мкм
Мощность: 2.2 кВт
Напряжение: 3 фазы, 380 В, 50 Гц</t>
  </si>
  <si>
    <t xml:space="preserve">Щековая дробилка RSD Combo DJRC80 (с делителем проб)
</t>
  </si>
  <si>
    <t>Размер загрузочного отверстия: 100×125 мм
Максимальный размер подаваемого материала: 80 мм
Контейнер-разделитель: регулируется на 5 %, 10 %, 15 %, 20 %, 25 %, 50 %
Размер выходящего материала: 90 % &lt; 2 мм
Максимальная производительность: 300 кг/ч
Мощность: 5 кВт Напряжение: 380 В, 3 фазы
Частота: 50 Гц
Материал щековых пластин: марганцевая сталь
Упаковка в ящик, размеры ящика: 1210 × 1150 × 1900 мм
Вес брутто: 684 кг</t>
  </si>
  <si>
    <t xml:space="preserve">Разделитель образцов серии SD, производства PowTeq.
</t>
  </si>
  <si>
    <t>Габариты (ШхГхВ мм): ~ 300×200×250; тип: рифлёный делитель; материал: нержавеющая сталь; количество желобов: 8–24</t>
  </si>
  <si>
    <t>Стол проборазделочный с возможностью подключения к вытяжной системе.</t>
  </si>
  <si>
    <t>Габариты печи (Ш × Г × В) 1800 × 815 × 1650 мм</t>
  </si>
  <si>
    <t xml:space="preserve">Вибрационная дисковая мельница, PLS_Pulse_Mill_2000_PC, пр-во Китай
</t>
  </si>
  <si>
    <t>Вибрационный ситовой шейкер, с возможностью сухого и мокрого просеивания. пр-во Китай (в комплекте с ситами)</t>
  </si>
  <si>
    <t>Габариты (Ш×Г×В мм): 400×480×240; диапазон: 20 мкм-25 мм; максимальная пропускная способность: 3 кг.</t>
  </si>
  <si>
    <t xml:space="preserve">Локальная система аспирации с фильтровальной установкой PLS AirFlow JZ08, пр-во Китай. </t>
  </si>
  <si>
    <t>Параметр Значение Производительность по воздуху 10 000 м³/ч Мощность 11 кВт Напряжение 380 В Количество фильтрующих картриджей 8 шт. (при необходимости можно приобрести дополнительные) Размер фильтра 325 × 1000 мм Метод очистки фильтрующего картриджа Импульсная очистка Габаритные размеры 1100 × 1700 × 3500 мм</t>
  </si>
  <si>
    <t xml:space="preserve">Компрессор воздушный поршневой/безмасляный, промышленного исполнения </t>
  </si>
  <si>
    <t>Габариты (Ш×Г×В мм): 1150×500×1000; производительность: 300-600 л/мин; давление: до 10 бар; ресивер: до 100 л; уровень шума: ≤70–80 дБ; тип: безмасляный (предпочтительно для лаборатории)Выход: 1/2" +1/4"</t>
  </si>
  <si>
    <t xml:space="preserve">Стол-мойка (670х600х900), врезная чаша из полипропилена (500х400х250)
</t>
  </si>
  <si>
    <t>Тумба стола имеет цельносварной рамный каркас, выполненный из стального профиля, окрашенного порошковой краской с фактурой шагреневой кожи. Регулируемые по высоте опоры. Стол имеет одно отделение за двумя распашными дверями. Двери изготовлены из металла, покрытого полимерным покрытием. Смеситель. Столешница с мойкой: нерж.сталь с врезной чашей из полипропилена.</t>
  </si>
  <si>
    <t xml:space="preserve">Стол-мойка (1200х600х900), врезная чаша из полипропилена (500х400х250)
</t>
  </si>
  <si>
    <t xml:space="preserve">Стол для весов (1200х600х900), столешница Постформинг. </t>
  </si>
  <si>
    <t>Основание: сварной рамный каркас, выполненный из стального профиля, окрашенного порошковой краской с фактурой шагреневой кожи. Регулируемые по высоте опоры. Столешница изготовлена из постформинга, имеет вырез, в который вставлен стол для весов 600х400х750.</t>
  </si>
  <si>
    <t xml:space="preserve">Стол для весов (600х600х900), столешница Постформинг. </t>
  </si>
  <si>
    <t xml:space="preserve">Стол лля ПК. </t>
  </si>
  <si>
    <t>Стол имеет тумбу для установки системного блока и открытое отделение с выдвижной полкой для клавиатуры. Тумба установлена на цельносварное основание из стального профиля прямоугольного сечения, покрытого полимерным покрытием, на регулируемых опорах. Корпус стола - ЛДСП 18мм, кромка - ПВХ 2мм. Столешница - Trespa Top Lab Base</t>
  </si>
  <si>
    <t xml:space="preserve">Шкаф металлический общелабораторный (800х450х1800). </t>
  </si>
  <si>
    <t>Шкаф установлен на цельносварное основание из стального профиля прямоугольного сечения, покрытого полимерным покрытием, на регулируемых опорах. Корпус шкафа и фасады - из листового металла, покрытого полимерным покрытием. Релинговые ручки. Дверные петли Blum (Австрия). Шкаф имеет два отделения: верхнее - с вертикальной перегородкой посередине, делящей её на две части: три съемные полки; нижнее с вертикальной перегородкой посередине: одна съемная полка.</t>
  </si>
  <si>
    <t xml:space="preserve">Прецизионные весы Entris II BCA6202 </t>
  </si>
  <si>
    <t>тех.характеристики НПВ 6 200 г, дискретность 10 мг, внутренняя автоматическая калибровка: isoCAL, размер чаши 182х182 мм, интерфейс USB С, RS-232, габариты 219 × 317 × 94 мм</t>
  </si>
  <si>
    <t>CAS DL100 N — электронные напольные весы с платформой из нержавеющей стали, предназначенные для взвешивания грузов до 100 кг</t>
  </si>
  <si>
    <t>Оснащены ярким LED-дисплеем, функциями тарирования, суммирования и автоматической установки нуля. Подходят для складов, производств, торговли и лабораторий благодаря высокой точности, надежной конструкции и простоте эксплуатации.</t>
  </si>
  <si>
    <t xml:space="preserve">Плавильная печь  PLS Fusion X3042
</t>
  </si>
  <si>
    <t>Электрический тип, 380 В, 50 Гц, 3 фазы, 34–45 кВт; трансформатор, 3 фазы, 50 кВА; рабочая зона, мм: 685 × 665 × 245; количество и размер тиглей: 30 шт. по 50/65 г или 42 шт. по 30 г / 40 г / 55 г; нагревательный элемент: карбид кремния; термопара типа K; пневматический привод открывания двери; электронное автоматическое регулирование температуры, до 1200 °C</t>
  </si>
  <si>
    <t xml:space="preserve">стол меньше дороже чем большой </t>
  </si>
  <si>
    <r>
      <t>Капели магнезитовые тип 7A (200 шт/упаковка) или эквивалент</t>
    </r>
    <r>
      <rPr>
        <sz val="12"/>
        <color rgb="FFFF0000"/>
        <rFont val="Montserrat"/>
        <charset val="204"/>
      </rPr>
      <t xml:space="preserve"> (запас на 1 месяца)</t>
    </r>
  </si>
  <si>
    <r>
      <t xml:space="preserve">Тигли шамотные 65 г (1400 шт/ящик) или эквивалент </t>
    </r>
    <r>
      <rPr>
        <sz val="12"/>
        <color rgb="FFFF0000"/>
        <rFont val="Montserrat"/>
        <charset val="204"/>
      </rPr>
      <t xml:space="preserve"> (запас на 1месяца)</t>
    </r>
  </si>
  <si>
    <t>1. Оборудование</t>
  </si>
  <si>
    <t>2. Весовое оборудование</t>
  </si>
  <si>
    <t>3. Лабораторная мебель</t>
  </si>
  <si>
    <t xml:space="preserve">Весы платформенные электронные технические, промышленного исполнения. </t>
  </si>
  <si>
    <t>Предел взвешивания: до 60 кг; дискретность: 10–20 г; платформа: усиленная, нержавеющая или рифлёная сталь, ~400×500 мм; класс точности: средний (III); функции: тарирование, стабилизация показаний; средство измерений внесено в Государственный реестр средств измерений Республики Казахстан (ГСИ РК).</t>
  </si>
  <si>
    <t>4. Весовое оборудование</t>
  </si>
  <si>
    <t>5. Лабораторная мебель</t>
  </si>
  <si>
    <t>6. Основное оборудование</t>
  </si>
  <si>
    <t xml:space="preserve">Купеляционная печь 
</t>
  </si>
  <si>
    <t>380 В, 50 Гц, 3 фазы, 17 кВт, многоотводной. Внутренние размеры: 450x250x145 мм. Количество и размер пар: 50 шт. 6А/7А/7А. Нагревательный элемент: 12 шт., карбид кремния. Термопара К-типа. Электронный автоматический контроль температуры, до 1200°C.</t>
  </si>
  <si>
    <t>7. Вспомогательное оборудование</t>
  </si>
  <si>
    <t>8. Транспортировка горячих изделий</t>
  </si>
  <si>
    <t>9. Охлаждение</t>
  </si>
  <si>
    <t>10. Оснастка</t>
  </si>
  <si>
    <t>Стойка для инструмента (Tools Rack)</t>
  </si>
  <si>
    <t>Щипцы для тиглей</t>
  </si>
  <si>
    <t>Вилка для капелей</t>
  </si>
  <si>
    <t>Скребок печи</t>
  </si>
  <si>
    <t>Лопатка печи</t>
  </si>
  <si>
    <t>Щетка для печи</t>
  </si>
  <si>
    <t>11. Система аспирации</t>
  </si>
  <si>
    <t>12. Расходные материалы</t>
  </si>
  <si>
    <t>11. Средства безопасности</t>
  </si>
  <si>
    <t>12. Запасные части</t>
  </si>
  <si>
    <t>СУММА</t>
  </si>
  <si>
    <t xml:space="preserve">Артикул </t>
  </si>
  <si>
    <t xml:space="preserve">подсветить изм кол-ва </t>
  </si>
  <si>
    <t>доп позции если в списрке нету тоже подсветитьт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</si>
</sst>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_-;\-* #,##0.0_-;_-* &quot;-&quot;??_-;_-@_-"/>
    <numFmt numFmtId="165" formatCode="_-* #,##0.0\ _₸_-;\-* #,##0.0\ _₸_-;_-* &quot;-&quot;?\ _₸_-;_-@_-"/>
  </numFmts>
  <fonts count="18" x14ac:knownFonts="1">
    <font>
      <sz val="11"/>
      <color theme="1"/>
      <name val="Calibri"/>
      <scheme val="minor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Montserrat"/>
      <charset val="204"/>
    </font>
    <font>
      <sz val="12"/>
      <color rgb="FF000000"/>
      <name val="Montserrat"/>
      <charset val="204"/>
    </font>
    <font>
      <sz val="12"/>
      <name val="Montserrat"/>
      <charset val="204"/>
    </font>
    <font>
      <sz val="11"/>
      <name val="Montserrat"/>
      <charset val="204"/>
    </font>
    <font>
      <b/>
      <sz val="12"/>
      <name val="Montserrat"/>
      <charset val="204"/>
    </font>
    <font>
      <sz val="12"/>
      <color rgb="FFFF0000"/>
      <name val="Montserrat"/>
      <charset val="204"/>
    </font>
    <font>
      <b/>
      <sz val="12"/>
      <color theme="1"/>
      <name val="Montserrat"/>
      <charset val="204"/>
    </font>
    <font>
      <u/>
      <sz val="11"/>
      <color theme="10"/>
      <name val="Calibri"/>
      <family val="2"/>
      <scheme val="minor"/>
    </font>
    <font>
      <b/>
      <sz val="14"/>
      <name val="Montserrat"/>
      <charset val="204"/>
    </font>
    <font>
      <b/>
      <sz val="12"/>
      <color rgb="FF000000"/>
      <name val="Montserrat"/>
      <charset val="204"/>
    </font>
    <font>
      <u/>
      <sz val="11"/>
      <color theme="10"/>
      <name val="Montserrat"/>
      <charset val="204"/>
    </font>
    <font>
      <u/>
      <sz val="11"/>
      <name val="Calibri"/>
      <family val="2"/>
      <scheme val="minor"/>
    </font>
    <font>
      <b/>
      <i/>
      <sz val="12"/>
      <name val="Montserrat"/>
      <charset val="204"/>
    </font>
    <font>
      <b/>
      <sz val="11"/>
      <name val="Montserrat"/>
      <charset val="204"/>
    </font>
    <font>
      <b/>
      <sz val="11"/>
      <color rgb="FFFF0000"/>
      <name val="Montserrat"/>
      <charset val="204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87"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right" vertical="center" wrapText="1"/>
    </xf>
    <xf numFmtId="9" fontId="1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164" fontId="3" fillId="2" borderId="1" xfId="1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164" fontId="5" fillId="2" borderId="1" xfId="1" applyNumberFormat="1" applyFont="1" applyFill="1" applyBorder="1" applyAlignment="1">
      <alignment horizontal="right" vertical="center" wrapText="1"/>
    </xf>
    <xf numFmtId="0" fontId="11" fillId="2" borderId="1" xfId="0" applyFont="1" applyFill="1" applyBorder="1" applyAlignment="1">
      <alignment horizontal="center" vertical="center"/>
    </xf>
    <xf numFmtId="164" fontId="11" fillId="2" borderId="1" xfId="1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9" fontId="6" fillId="2" borderId="0" xfId="0" applyNumberFormat="1" applyFont="1" applyFill="1" applyAlignment="1">
      <alignment horizontal="left" vertical="center"/>
    </xf>
    <xf numFmtId="164" fontId="13" fillId="3" borderId="1" xfId="2" applyNumberFormat="1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left" vertical="center"/>
    </xf>
    <xf numFmtId="0" fontId="6" fillId="2" borderId="0" xfId="0" applyFont="1" applyFill="1"/>
    <xf numFmtId="165" fontId="6" fillId="2" borderId="0" xfId="0" applyNumberFormat="1" applyFont="1" applyFill="1"/>
    <xf numFmtId="164" fontId="6" fillId="2" borderId="0" xfId="1" applyNumberFormat="1" applyFont="1" applyFill="1" applyAlignment="1">
      <alignment horizontal="right" vertical="center"/>
    </xf>
    <xf numFmtId="164" fontId="6" fillId="2" borderId="0" xfId="1" applyNumberFormat="1" applyFont="1" applyFill="1" applyAlignment="1">
      <alignment horizontal="right"/>
    </xf>
    <xf numFmtId="164" fontId="14" fillId="2" borderId="1" xfId="2" applyNumberFormat="1" applyFont="1" applyFill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vertical="center" wrapText="1"/>
    </xf>
    <xf numFmtId="164" fontId="6" fillId="2" borderId="0" xfId="0" applyNumberFormat="1" applyFont="1" applyFill="1"/>
    <xf numFmtId="0" fontId="4" fillId="3" borderId="2" xfId="0" applyFont="1" applyFill="1" applyBorder="1" applyAlignment="1">
      <alignment horizontal="left" vertical="center" wrapText="1"/>
    </xf>
    <xf numFmtId="164" fontId="8" fillId="2" borderId="2" xfId="1" applyNumberFormat="1" applyFont="1" applyFill="1" applyBorder="1" applyAlignment="1">
      <alignment horizontal="right" vertical="center" wrapText="1"/>
    </xf>
    <xf numFmtId="164" fontId="5" fillId="3" borderId="2" xfId="1" applyNumberFormat="1" applyFont="1" applyFill="1" applyBorder="1" applyAlignment="1">
      <alignment horizontal="righ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right" vertical="center" wrapText="1"/>
    </xf>
    <xf numFmtId="0" fontId="6" fillId="3" borderId="2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1" fontId="11" fillId="2" borderId="1" xfId="0" applyNumberFormat="1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 wrapText="1"/>
    </xf>
    <xf numFmtId="1" fontId="6" fillId="2" borderId="0" xfId="0" applyNumberFormat="1" applyFont="1" applyFill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 wrapText="1"/>
    </xf>
    <xf numFmtId="164" fontId="7" fillId="6" borderId="1" xfId="1" applyNumberFormat="1" applyFont="1" applyFill="1" applyBorder="1" applyAlignment="1">
      <alignment horizontal="right" vertical="center" wrapText="1"/>
    </xf>
    <xf numFmtId="164" fontId="7" fillId="8" borderId="1" xfId="1" applyNumberFormat="1" applyFont="1" applyFill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43" fontId="3" fillId="2" borderId="1" xfId="1" applyFont="1" applyFill="1" applyBorder="1" applyAlignment="1">
      <alignment horizontal="center" vertical="center" wrapText="1"/>
    </xf>
    <xf numFmtId="43" fontId="5" fillId="2" borderId="1" xfId="1" applyFont="1" applyFill="1" applyBorder="1" applyAlignment="1">
      <alignment horizontal="center" vertical="center" wrapText="1"/>
    </xf>
    <xf numFmtId="43" fontId="3" fillId="4" borderId="1" xfId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0" fontId="17" fillId="2" borderId="0" xfId="0" applyFont="1" applyFill="1" applyAlignment="1">
      <alignment horizontal="left" vertical="center"/>
    </xf>
    <xf numFmtId="0" fontId="15" fillId="5" borderId="1" xfId="0" applyFont="1" applyFill="1" applyBorder="1" applyAlignment="1">
      <alignment horizontal="left" vertical="center" wrapText="1"/>
    </xf>
    <xf numFmtId="0" fontId="15" fillId="9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164" fontId="5" fillId="4" borderId="1" xfId="1" applyNumberFormat="1" applyFont="1" applyFill="1" applyBorder="1" applyAlignment="1">
      <alignment horizontal="right" vertical="center" wrapText="1"/>
    </xf>
    <xf numFmtId="0" fontId="6" fillId="2" borderId="0" xfId="0" applyFont="1" applyFill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164" fontId="5" fillId="2" borderId="1" xfId="1" applyNumberFormat="1" applyFont="1" applyFill="1" applyBorder="1" applyAlignment="1">
      <alignment horizontal="left" vertical="center" wrapText="1"/>
    </xf>
    <xf numFmtId="43" fontId="5" fillId="2" borderId="1" xfId="1" applyFont="1" applyFill="1" applyBorder="1" applyAlignment="1">
      <alignment horizontal="left" vertical="center" wrapText="1"/>
    </xf>
    <xf numFmtId="164" fontId="5" fillId="2" borderId="5" xfId="1" applyNumberFormat="1" applyFont="1" applyFill="1" applyBorder="1" applyAlignment="1">
      <alignment horizontal="right" vertical="center" wrapText="1"/>
    </xf>
    <xf numFmtId="164" fontId="5" fillId="2" borderId="6" xfId="1" applyNumberFormat="1" applyFont="1" applyFill="1" applyBorder="1" applyAlignment="1">
      <alignment horizontal="right" vertical="center" wrapText="1"/>
    </xf>
    <xf numFmtId="164" fontId="5" fillId="2" borderId="7" xfId="1" applyNumberFormat="1" applyFont="1" applyFill="1" applyBorder="1" applyAlignment="1">
      <alignment horizontal="right"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left" vertical="center" wrapText="1"/>
    </xf>
    <xf numFmtId="164" fontId="5" fillId="2" borderId="1" xfId="1" applyNumberFormat="1" applyFont="1" applyFill="1" applyBorder="1" applyAlignment="1">
      <alignment vertical="center" wrapText="1"/>
    </xf>
    <xf numFmtId="1" fontId="5" fillId="2" borderId="1" xfId="0" applyNumberFormat="1" applyFont="1" applyFill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6" fillId="2" borderId="7" xfId="0" applyFont="1" applyFill="1" applyBorder="1" applyAlignment="1">
      <alignment vertical="center"/>
    </xf>
    <xf numFmtId="164" fontId="16" fillId="2" borderId="0" xfId="1" applyNumberFormat="1" applyFont="1" applyFill="1" applyAlignment="1">
      <alignment horizontal="right" vertical="center"/>
    </xf>
    <xf numFmtId="164" fontId="16" fillId="2" borderId="0" xfId="1" applyNumberFormat="1" applyFont="1" applyFill="1" applyAlignment="1">
      <alignment horizontal="right"/>
    </xf>
    <xf numFmtId="0" fontId="15" fillId="5" borderId="1" xfId="0" applyFont="1" applyFill="1" applyBorder="1" applyAlignment="1">
      <alignment horizontal="left" vertical="center" wrapText="1"/>
    </xf>
    <xf numFmtId="0" fontId="15" fillId="9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center" vertical="center" wrapText="1"/>
    </xf>
    <xf numFmtId="43" fontId="15" fillId="5" borderId="1" xfId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right" vertical="center" wrapText="1"/>
    </xf>
    <xf numFmtId="0" fontId="15" fillId="8" borderId="1" xfId="0" applyFont="1" applyFill="1" applyBorder="1" applyAlignment="1">
      <alignment horizontal="right" vertical="center" wrapText="1"/>
    </xf>
    <xf numFmtId="0" fontId="15" fillId="5" borderId="3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/>
    </xf>
    <xf numFmtId="164" fontId="5" fillId="2" borderId="1" xfId="1" applyNumberFormat="1" applyFont="1" applyFill="1" applyBorder="1" applyAlignment="1">
      <alignment horizontal="right" vertical="center" wrapText="1"/>
    </xf>
  </cellXfs>
  <cellStyles count="3">
    <cellStyle name="Гиперссылка" xfId="2" builtinId="8"/>
    <cellStyle name="Обычный" xfId="0" builtinId="0"/>
    <cellStyle name="Финансовый" xfId="1" builtinId="3"/>
  </cellStyles>
  <dxfs count="0"/>
  <tableStyles count="0" defaultTableStyle="TableStyleMedium2" defaultPivotStyle="PivotStyleLight16"/>
  <colors>
    <mruColors>
      <color rgb="FF89D2F5"/>
      <color rgb="FFEC3247"/>
      <color rgb="FFDDF1FC"/>
      <color rgb="FFD03346"/>
      <color rgb="FFE31E37"/>
      <color rgb="FFB62734"/>
      <color rgb="FFEBECEC"/>
      <color rgb="FF1F4E79"/>
      <color rgb="FFF7F9FC"/>
      <color rgb="FF2E7D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l.kaspi.kz/shop/vNReiZdRNNaqX5Z?sessionId=93557d88-31ed-4263-bf4a-487b60efbd941781784153" TargetMode="External"/><Relationship Id="rId2" Type="http://schemas.openxmlformats.org/officeDocument/2006/relationships/hyperlink" Target="https://l.kaspi.kz/shop/vNReiZdRNNaqX5Z?sessionId=93557d88-31ed-4263-bf4a-487b60efbd941781784153" TargetMode="External"/><Relationship Id="rId1" Type="http://schemas.openxmlformats.org/officeDocument/2006/relationships/hyperlink" Target="https://l.kaspi.kz/shop/vNReiZdRNNaqX5Z?sessionId=93557d88-31ed-4263-bf4a-487b60efbd941781784153" TargetMode="External"/><Relationship Id="rId4" Type="http://schemas.openxmlformats.org/officeDocument/2006/relationships/hyperlink" Target="https://l.kaspi.kz/shop/vNReiZdRNNaqX5Z?sessionId=93557d88-31ed-4263-bf4a-487b60efbd941781784153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l.kaspi.kz/shop/vNReiZdRNNaqX5Z?sessionId=93557d88-31ed-4263-bf4a-487b60efbd941781784153" TargetMode="External"/><Relationship Id="rId3" Type="http://schemas.openxmlformats.org/officeDocument/2006/relationships/hyperlink" Target="https://l.kaspi.kz/shop/vNReiZdRNNaqX5Z?sessionId=93557d88-31ed-4263-bf4a-487b60efbd941781784153" TargetMode="External"/><Relationship Id="rId7" Type="http://schemas.openxmlformats.org/officeDocument/2006/relationships/hyperlink" Target="https://intellpack.kz/catalog/vesovoe-oborudovanie/torgovye-vesy-cas-vn/napolnye/model-pb/" TargetMode="External"/><Relationship Id="rId2" Type="http://schemas.openxmlformats.org/officeDocument/2006/relationships/hyperlink" Target="https://l.kaspi.kz/shop/vNReiZdRNNaqX5Z?sessionId=93557d88-31ed-4263-bf4a-487b60efbd941781784153" TargetMode="External"/><Relationship Id="rId1" Type="http://schemas.openxmlformats.org/officeDocument/2006/relationships/hyperlink" Target="https://l.kaspi.kz/shop/vNReiZdRNNaqX5Z?sessionId=93557d88-31ed-4263-bf4a-487b60efbd941781784153" TargetMode="External"/><Relationship Id="rId6" Type="http://schemas.openxmlformats.org/officeDocument/2006/relationships/hyperlink" Target="https://intellpack.kz/catalog/vesovoe-oborudovanie/torgovye-vesy-cas-vn/napolnye/model-pb/" TargetMode="External"/><Relationship Id="rId5" Type="http://schemas.openxmlformats.org/officeDocument/2006/relationships/hyperlink" Target="https://l.kaspi.kz/shop/vNReiZdRNNaqX5Z?sessionId=93557d88-31ed-4263-bf4a-487b60efbd941781784153" TargetMode="External"/><Relationship Id="rId4" Type="http://schemas.openxmlformats.org/officeDocument/2006/relationships/hyperlink" Target="https://l.kaspi.kz/shop/vNReiZdRNNaqX5Z?sessionId=93557d88-31ed-4263-bf4a-487b60efbd9417817841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0BDE6-F822-4D33-8A57-E93B6287D02C}">
  <dimension ref="A1:F17"/>
  <sheetViews>
    <sheetView view="pageBreakPreview" zoomScale="55" zoomScaleNormal="55" zoomScaleSheetLayoutView="55" workbookViewId="0">
      <selection activeCell="C13" sqref="C13"/>
    </sheetView>
  </sheetViews>
  <sheetFormatPr defaultColWidth="8.86328125" defaultRowHeight="16.5" outlineLevelRow="2" x14ac:dyDescent="0.6"/>
  <cols>
    <col min="1" max="1" width="8.86328125" style="6"/>
    <col min="2" max="2" width="138.6640625" style="6" customWidth="1"/>
    <col min="3" max="3" width="19.53125" style="41" bestFit="1" customWidth="1"/>
    <col min="4" max="4" width="17.53125" style="23" customWidth="1"/>
    <col min="5" max="5" width="24.19921875" style="24" bestFit="1" customWidth="1"/>
    <col min="6" max="6" width="49.46484375" style="21" customWidth="1"/>
    <col min="7" max="12" width="8.86328125" style="21" customWidth="1"/>
    <col min="13" max="13" width="17.9296875" style="21" bestFit="1" customWidth="1"/>
    <col min="14" max="14" width="12.1328125" style="21" bestFit="1" customWidth="1"/>
    <col min="15" max="16384" width="8.86328125" style="21"/>
  </cols>
  <sheetData>
    <row r="1" spans="1:6" s="17" customFormat="1" ht="42" x14ac:dyDescent="0.45">
      <c r="A1" s="15" t="s">
        <v>0</v>
      </c>
      <c r="B1" s="15" t="s">
        <v>83</v>
      </c>
      <c r="C1" s="36" t="s">
        <v>84</v>
      </c>
      <c r="D1" s="16" t="s">
        <v>85</v>
      </c>
      <c r="E1" s="16" t="s">
        <v>86</v>
      </c>
    </row>
    <row r="2" spans="1:6" s="17" customFormat="1" ht="18" outlineLevel="1" x14ac:dyDescent="0.45">
      <c r="A2" s="74" t="s">
        <v>149</v>
      </c>
      <c r="B2" s="74"/>
      <c r="C2" s="74"/>
      <c r="D2" s="74"/>
      <c r="E2" s="74"/>
    </row>
    <row r="3" spans="1:6" s="17" customFormat="1" ht="18" outlineLevel="1" x14ac:dyDescent="0.45">
      <c r="A3" s="74" t="s">
        <v>150</v>
      </c>
      <c r="B3" s="74"/>
      <c r="C3" s="74"/>
      <c r="D3" s="74"/>
      <c r="E3" s="74"/>
    </row>
    <row r="4" spans="1:6" s="17" customFormat="1" ht="72" outlineLevel="2" x14ac:dyDescent="0.45">
      <c r="A4" s="7">
        <v>1</v>
      </c>
      <c r="B4" s="11" t="s">
        <v>22</v>
      </c>
      <c r="C4" s="37">
        <v>2</v>
      </c>
      <c r="D4" s="48">
        <v>420</v>
      </c>
      <c r="E4" s="48">
        <f t="shared" ref="E4:E8" si="0">D4*C4</f>
        <v>840</v>
      </c>
    </row>
    <row r="5" spans="1:6" s="17" customFormat="1" ht="18" outlineLevel="2" x14ac:dyDescent="0.45">
      <c r="A5" s="7">
        <v>2</v>
      </c>
      <c r="B5" s="11" t="s">
        <v>146</v>
      </c>
      <c r="C5" s="37">
        <v>0</v>
      </c>
      <c r="D5" s="9">
        <v>320</v>
      </c>
      <c r="E5" s="48">
        <f t="shared" si="0"/>
        <v>0</v>
      </c>
    </row>
    <row r="6" spans="1:6" s="17" customFormat="1" ht="18" outlineLevel="1" x14ac:dyDescent="0.45">
      <c r="A6" s="74" t="s">
        <v>151</v>
      </c>
      <c r="B6" s="74"/>
      <c r="C6" s="74"/>
      <c r="D6" s="74"/>
      <c r="E6" s="74"/>
    </row>
    <row r="7" spans="1:6" s="17" customFormat="1" ht="18" outlineLevel="2" x14ac:dyDescent="0.45">
      <c r="A7" s="7">
        <v>1</v>
      </c>
      <c r="B7" s="10" t="s">
        <v>21</v>
      </c>
      <c r="C7" s="7">
        <v>0</v>
      </c>
      <c r="D7" s="47">
        <v>459</v>
      </c>
      <c r="E7" s="47">
        <f>D7*C7</f>
        <v>0</v>
      </c>
    </row>
    <row r="8" spans="1:6" s="17" customFormat="1" ht="90" outlineLevel="2" x14ac:dyDescent="0.45">
      <c r="A8" s="7">
        <v>2</v>
      </c>
      <c r="B8" s="13" t="s">
        <v>42</v>
      </c>
      <c r="C8" s="38">
        <v>0</v>
      </c>
      <c r="D8" s="14">
        <v>799</v>
      </c>
      <c r="E8" s="48">
        <f t="shared" si="0"/>
        <v>0</v>
      </c>
    </row>
    <row r="9" spans="1:6" s="17" customFormat="1" ht="72" outlineLevel="2" x14ac:dyDescent="0.45">
      <c r="A9" s="7">
        <v>3</v>
      </c>
      <c r="B9" s="46" t="s">
        <v>144</v>
      </c>
      <c r="C9" s="7">
        <v>0</v>
      </c>
      <c r="D9" s="49">
        <v>1027</v>
      </c>
      <c r="E9" s="48">
        <f>D9*C9</f>
        <v>0</v>
      </c>
      <c r="F9" s="17" t="s">
        <v>145</v>
      </c>
    </row>
    <row r="10" spans="1:6" ht="18" x14ac:dyDescent="0.6">
      <c r="A10" s="54">
        <v>4</v>
      </c>
      <c r="B10" s="11" t="s">
        <v>97</v>
      </c>
      <c r="C10" s="12">
        <v>1</v>
      </c>
      <c r="D10" s="14">
        <v>47.5</v>
      </c>
      <c r="E10" s="14">
        <f>D10*C10</f>
        <v>47.5</v>
      </c>
    </row>
    <row r="11" spans="1:6" ht="90" x14ac:dyDescent="0.6">
      <c r="A11" s="54">
        <v>5</v>
      </c>
      <c r="B11" s="13" t="s">
        <v>109</v>
      </c>
      <c r="C11" s="12">
        <v>0</v>
      </c>
      <c r="D11" s="55" t="s">
        <v>27</v>
      </c>
      <c r="E11" s="14">
        <f t="shared" ref="E11" si="1">D11*C11</f>
        <v>0</v>
      </c>
      <c r="F11" s="17" t="s">
        <v>145</v>
      </c>
    </row>
    <row r="12" spans="1:6" ht="18" x14ac:dyDescent="0.6">
      <c r="A12" s="54">
        <v>6</v>
      </c>
      <c r="B12" s="11" t="s">
        <v>11</v>
      </c>
      <c r="C12" s="12">
        <v>3</v>
      </c>
      <c r="D12" s="14" t="s">
        <v>26</v>
      </c>
      <c r="E12" s="14">
        <f>D12*C12</f>
        <v>651</v>
      </c>
    </row>
    <row r="13" spans="1:6" ht="18" x14ac:dyDescent="0.6">
      <c r="A13" s="54"/>
      <c r="B13" s="11"/>
      <c r="C13" s="12"/>
      <c r="D13" s="14"/>
      <c r="E13" s="14"/>
    </row>
    <row r="14" spans="1:6" ht="18" x14ac:dyDescent="0.6">
      <c r="A14" s="54"/>
      <c r="B14" s="11"/>
      <c r="C14" s="12"/>
      <c r="D14" s="14"/>
      <c r="E14" s="14"/>
    </row>
    <row r="15" spans="1:6" x14ac:dyDescent="0.6">
      <c r="D15" s="72" t="s">
        <v>226</v>
      </c>
      <c r="E15" s="73">
        <f>SUM(E4:E14)</f>
        <v>1538.5</v>
      </c>
    </row>
    <row r="16" spans="1:6" x14ac:dyDescent="0.6">
      <c r="D16" s="72"/>
      <c r="E16" s="73"/>
    </row>
    <row r="17" spans="2:2" x14ac:dyDescent="0.6">
      <c r="B17" s="51" t="s">
        <v>147</v>
      </c>
    </row>
  </sheetData>
  <mergeCells count="3">
    <mergeCell ref="A3:E3"/>
    <mergeCell ref="A6:E6"/>
    <mergeCell ref="A2:E2"/>
  </mergeCells>
  <pageMargins left="0.7" right="0.7" top="0.75" bottom="0.75" header="0.3" footer="0.3"/>
  <pageSetup paperSize="9" scale="41" orientation="portrait" r:id="rId1"/>
  <colBreaks count="2" manualBreakCount="2">
    <brk id="5" max="1048575" man="1"/>
    <brk id="1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B0435-9579-4E30-9BDE-2D981E01533F}">
  <dimension ref="A1:H46"/>
  <sheetViews>
    <sheetView tabSelected="1" view="pageBreakPreview" zoomScale="50" zoomScaleNormal="55" zoomScaleSheetLayoutView="50" workbookViewId="0">
      <selection activeCell="F11" sqref="F11"/>
    </sheetView>
  </sheetViews>
  <sheetFormatPr defaultColWidth="8.86328125" defaultRowHeight="16.5" outlineLevelRow="2" x14ac:dyDescent="0.6"/>
  <cols>
    <col min="1" max="1" width="30.19921875" style="6" customWidth="1"/>
    <col min="2" max="2" width="80.33203125" style="6" customWidth="1"/>
    <col min="3" max="3" width="19.53125" style="41" bestFit="1" customWidth="1"/>
    <col min="4" max="4" width="17.53125" style="23" customWidth="1"/>
    <col min="5" max="5" width="24.19921875" style="24" bestFit="1" customWidth="1"/>
    <col min="6" max="6" width="96.3984375" style="24" customWidth="1"/>
    <col min="7" max="7" width="20.1328125" style="56" customWidth="1"/>
    <col min="8" max="8" width="8.86328125" style="21" customWidth="1"/>
    <col min="9" max="9" width="17.9296875" style="21" bestFit="1" customWidth="1"/>
    <col min="10" max="10" width="12.1328125" style="21" bestFit="1" customWidth="1"/>
    <col min="11" max="16384" width="8.86328125" style="21"/>
  </cols>
  <sheetData>
    <row r="1" spans="1:7" s="17" customFormat="1" ht="42" x14ac:dyDescent="0.45">
      <c r="A1" s="15" t="s">
        <v>227</v>
      </c>
      <c r="B1" s="15" t="s">
        <v>83</v>
      </c>
      <c r="C1" s="36" t="s">
        <v>84</v>
      </c>
      <c r="D1" s="16" t="s">
        <v>85</v>
      </c>
      <c r="E1" s="16" t="s">
        <v>86</v>
      </c>
      <c r="F1" s="16" t="s">
        <v>164</v>
      </c>
      <c r="G1" s="16" t="s">
        <v>162</v>
      </c>
    </row>
    <row r="2" spans="1:7" s="17" customFormat="1" ht="18" x14ac:dyDescent="0.45">
      <c r="A2" s="74" t="s">
        <v>152</v>
      </c>
      <c r="B2" s="74"/>
      <c r="C2" s="74"/>
      <c r="D2" s="74"/>
      <c r="E2" s="74"/>
      <c r="F2" s="52"/>
      <c r="G2" s="54"/>
    </row>
    <row r="3" spans="1:7" s="17" customFormat="1" ht="18" outlineLevel="1" x14ac:dyDescent="0.45">
      <c r="A3" s="75" t="s">
        <v>153</v>
      </c>
      <c r="B3" s="75"/>
      <c r="C3" s="75"/>
      <c r="D3" s="75"/>
      <c r="E3" s="75"/>
      <c r="F3" s="53"/>
      <c r="G3" s="54"/>
    </row>
    <row r="4" spans="1:7" s="17" customFormat="1" ht="18" outlineLevel="2" x14ac:dyDescent="0.45">
      <c r="A4" s="7"/>
      <c r="B4" s="11" t="s">
        <v>148</v>
      </c>
      <c r="C4" s="7">
        <v>0</v>
      </c>
      <c r="D4" s="49"/>
      <c r="E4" s="14">
        <f t="shared" ref="E4:E6" si="0">D4*C4</f>
        <v>0</v>
      </c>
      <c r="F4" s="57"/>
      <c r="G4" s="57"/>
    </row>
    <row r="5" spans="1:7" s="17" customFormat="1" ht="288" outlineLevel="2" x14ac:dyDescent="0.45">
      <c r="A5" s="7" t="s">
        <v>228</v>
      </c>
      <c r="B5" s="11" t="s">
        <v>165</v>
      </c>
      <c r="C5" s="7">
        <v>0</v>
      </c>
      <c r="D5" s="47">
        <v>22643</v>
      </c>
      <c r="E5" s="14">
        <f t="shared" si="0"/>
        <v>0</v>
      </c>
      <c r="F5" s="11" t="s">
        <v>166</v>
      </c>
      <c r="G5" s="54">
        <v>20</v>
      </c>
    </row>
    <row r="6" spans="1:7" s="17" customFormat="1" ht="18" outlineLevel="2" x14ac:dyDescent="0.45">
      <c r="A6" s="7"/>
      <c r="B6" s="11" t="s">
        <v>108</v>
      </c>
      <c r="C6" s="12">
        <v>1</v>
      </c>
      <c r="D6" s="14">
        <v>30700</v>
      </c>
      <c r="E6" s="14">
        <f t="shared" si="0"/>
        <v>30700</v>
      </c>
      <c r="F6" s="57"/>
      <c r="G6" s="57"/>
    </row>
    <row r="7" spans="1:7" s="17" customFormat="1" ht="54" outlineLevel="2" x14ac:dyDescent="0.45">
      <c r="A7" s="7" t="s">
        <v>229</v>
      </c>
      <c r="B7" s="10"/>
      <c r="C7" s="7"/>
      <c r="D7" s="47"/>
      <c r="E7" s="47"/>
      <c r="F7" s="47"/>
      <c r="G7" s="54"/>
    </row>
    <row r="8" spans="1:7" s="17" customFormat="1" ht="18" outlineLevel="1" x14ac:dyDescent="0.45">
      <c r="A8" s="75" t="s">
        <v>154</v>
      </c>
      <c r="B8" s="75"/>
      <c r="C8" s="75"/>
      <c r="D8" s="75"/>
      <c r="E8" s="75"/>
      <c r="F8" s="53"/>
      <c r="G8" s="54"/>
    </row>
    <row r="9" spans="1:7" s="17" customFormat="1" ht="90" outlineLevel="2" x14ac:dyDescent="0.45">
      <c r="A9" s="7"/>
      <c r="B9" s="11" t="s">
        <v>167</v>
      </c>
      <c r="C9" s="37">
        <v>1</v>
      </c>
      <c r="D9" s="14">
        <v>43839</v>
      </c>
      <c r="E9" s="14">
        <f>D9*C9</f>
        <v>43839</v>
      </c>
      <c r="F9" s="11" t="s">
        <v>168</v>
      </c>
      <c r="G9" s="54">
        <v>7.5</v>
      </c>
    </row>
    <row r="10" spans="1:7" s="17" customFormat="1" ht="36" outlineLevel="2" x14ac:dyDescent="0.45">
      <c r="A10" s="12"/>
      <c r="B10" s="11" t="s">
        <v>31</v>
      </c>
      <c r="C10" s="37">
        <v>1</v>
      </c>
      <c r="D10" s="14">
        <v>49300</v>
      </c>
      <c r="E10" s="14">
        <f>D10*C10</f>
        <v>49300</v>
      </c>
      <c r="F10" s="14"/>
      <c r="G10" s="57"/>
    </row>
    <row r="11" spans="1:7" s="17" customFormat="1" ht="180" outlineLevel="2" x14ac:dyDescent="0.45">
      <c r="A11" s="12"/>
      <c r="B11" s="11" t="s">
        <v>170</v>
      </c>
      <c r="C11" s="37">
        <v>1</v>
      </c>
      <c r="D11" s="14">
        <v>36399</v>
      </c>
      <c r="E11" s="14">
        <f>D11*C11</f>
        <v>36399</v>
      </c>
      <c r="F11" s="11" t="s">
        <v>171</v>
      </c>
      <c r="G11" s="57"/>
    </row>
    <row r="12" spans="1:7" s="17" customFormat="1" ht="18" outlineLevel="2" x14ac:dyDescent="0.45">
      <c r="A12" s="12"/>
      <c r="B12" s="11"/>
      <c r="C12" s="37"/>
      <c r="D12" s="14"/>
      <c r="E12" s="14">
        <f>D12*C12</f>
        <v>0</v>
      </c>
      <c r="F12" s="14"/>
      <c r="G12" s="57"/>
    </row>
    <row r="13" spans="1:7" s="17" customFormat="1" ht="18" outlineLevel="1" x14ac:dyDescent="0.45">
      <c r="A13" s="75" t="s">
        <v>155</v>
      </c>
      <c r="B13" s="75"/>
      <c r="C13" s="75"/>
      <c r="D13" s="75"/>
      <c r="E13" s="75"/>
      <c r="F13" s="53"/>
      <c r="G13" s="54"/>
    </row>
    <row r="14" spans="1:7" s="17" customFormat="1" ht="36" outlineLevel="2" x14ac:dyDescent="0.45">
      <c r="A14" s="12"/>
      <c r="B14" s="11" t="s">
        <v>172</v>
      </c>
      <c r="C14" s="37">
        <v>1</v>
      </c>
      <c r="D14" s="14">
        <v>1388</v>
      </c>
      <c r="E14" s="14">
        <f t="shared" ref="E14" si="1">D14*C14</f>
        <v>1388</v>
      </c>
      <c r="F14" s="11" t="s">
        <v>173</v>
      </c>
      <c r="G14" s="54"/>
    </row>
    <row r="15" spans="1:7" s="17" customFormat="1" ht="36" outlineLevel="2" x14ac:dyDescent="0.45">
      <c r="A15" s="12"/>
      <c r="B15" s="11" t="s">
        <v>174</v>
      </c>
      <c r="C15" s="37">
        <v>1</v>
      </c>
      <c r="D15" s="14">
        <v>1722</v>
      </c>
      <c r="E15" s="14">
        <f>D15*C15</f>
        <v>1722</v>
      </c>
      <c r="F15" s="11" t="s">
        <v>175</v>
      </c>
      <c r="G15" s="54"/>
    </row>
    <row r="16" spans="1:7" s="17" customFormat="1" ht="18" outlineLevel="1" x14ac:dyDescent="0.45">
      <c r="A16" s="75" t="s">
        <v>156</v>
      </c>
      <c r="B16" s="75"/>
      <c r="C16" s="75"/>
      <c r="D16" s="75"/>
      <c r="E16" s="75"/>
      <c r="F16" s="53"/>
      <c r="G16" s="54"/>
    </row>
    <row r="17" spans="1:7" s="17" customFormat="1" ht="108" outlineLevel="2" x14ac:dyDescent="0.45">
      <c r="A17" s="12"/>
      <c r="B17" s="11" t="s">
        <v>176</v>
      </c>
      <c r="C17" s="37">
        <v>1</v>
      </c>
      <c r="D17" s="14">
        <v>14800</v>
      </c>
      <c r="E17" s="14">
        <f>D17*C17</f>
        <v>14800</v>
      </c>
      <c r="F17" s="58" t="s">
        <v>169</v>
      </c>
      <c r="G17" s="54">
        <v>2.2000000000000002</v>
      </c>
    </row>
    <row r="18" spans="1:7" s="17" customFormat="1" ht="18" outlineLevel="1" x14ac:dyDescent="0.45">
      <c r="A18" s="75" t="s">
        <v>157</v>
      </c>
      <c r="B18" s="75"/>
      <c r="C18" s="75"/>
      <c r="D18" s="75"/>
      <c r="E18" s="75"/>
      <c r="F18" s="53"/>
      <c r="G18" s="54"/>
    </row>
    <row r="19" spans="1:7" s="17" customFormat="1" ht="36" outlineLevel="2" x14ac:dyDescent="0.45">
      <c r="A19" s="7"/>
      <c r="B19" s="11" t="s">
        <v>177</v>
      </c>
      <c r="C19" s="37">
        <v>1</v>
      </c>
      <c r="D19" s="14">
        <v>6392</v>
      </c>
      <c r="E19" s="14">
        <f>D19*C19</f>
        <v>6392</v>
      </c>
      <c r="F19" s="11" t="s">
        <v>178</v>
      </c>
      <c r="G19" s="54"/>
    </row>
    <row r="20" spans="1:7" s="17" customFormat="1" ht="18" outlineLevel="2" x14ac:dyDescent="0.45">
      <c r="A20" s="12"/>
      <c r="B20" s="11" t="s">
        <v>24</v>
      </c>
      <c r="C20" s="12">
        <v>1</v>
      </c>
      <c r="D20" s="14" t="s">
        <v>25</v>
      </c>
      <c r="E20" s="14">
        <f>D20*C20</f>
        <v>1950</v>
      </c>
      <c r="F20" s="14"/>
      <c r="G20" s="54"/>
    </row>
    <row r="21" spans="1:7" s="17" customFormat="1" ht="18" outlineLevel="1" x14ac:dyDescent="0.45">
      <c r="A21" s="75" t="s">
        <v>158</v>
      </c>
      <c r="B21" s="75"/>
      <c r="C21" s="75"/>
      <c r="D21" s="75"/>
      <c r="E21" s="75"/>
      <c r="F21" s="53"/>
      <c r="G21" s="54"/>
    </row>
    <row r="22" spans="1:7" s="17" customFormat="1" ht="72" outlineLevel="2" x14ac:dyDescent="0.45">
      <c r="A22" s="7"/>
      <c r="B22" s="11" t="s">
        <v>195</v>
      </c>
      <c r="C22" s="37">
        <v>1</v>
      </c>
      <c r="D22" s="48">
        <v>420</v>
      </c>
      <c r="E22" s="48">
        <f t="shared" ref="E22:E23" si="2">D22*C22</f>
        <v>420</v>
      </c>
      <c r="F22" s="59" t="s">
        <v>196</v>
      </c>
      <c r="G22" s="54"/>
    </row>
    <row r="23" spans="1:7" s="17" customFormat="1" ht="36" outlineLevel="2" x14ac:dyDescent="0.45">
      <c r="A23" s="7"/>
      <c r="B23" s="11" t="s">
        <v>146</v>
      </c>
      <c r="C23" s="37">
        <v>1</v>
      </c>
      <c r="D23" s="9">
        <v>320</v>
      </c>
      <c r="E23" s="48">
        <f t="shared" si="2"/>
        <v>320</v>
      </c>
      <c r="F23" s="48"/>
      <c r="G23" s="54"/>
    </row>
    <row r="24" spans="1:7" s="17" customFormat="1" ht="54" outlineLevel="2" x14ac:dyDescent="0.45">
      <c r="A24" s="12"/>
      <c r="B24" s="11" t="s">
        <v>193</v>
      </c>
      <c r="C24" s="12">
        <v>1</v>
      </c>
      <c r="D24" s="14">
        <v>5200</v>
      </c>
      <c r="E24" s="14">
        <f t="shared" ref="E24" si="3">D24*C24</f>
        <v>5200</v>
      </c>
      <c r="F24" s="58" t="s">
        <v>194</v>
      </c>
      <c r="G24" s="54"/>
    </row>
    <row r="25" spans="1:7" s="17" customFormat="1" ht="18" outlineLevel="1" x14ac:dyDescent="0.45">
      <c r="A25" s="75" t="s">
        <v>159</v>
      </c>
      <c r="B25" s="75"/>
      <c r="C25" s="75"/>
      <c r="D25" s="75"/>
      <c r="E25" s="75"/>
      <c r="F25" s="53"/>
      <c r="G25" s="54"/>
    </row>
    <row r="26" spans="1:7" s="17" customFormat="1" ht="90" outlineLevel="2" x14ac:dyDescent="0.45">
      <c r="A26" s="7"/>
      <c r="B26" s="11" t="s">
        <v>179</v>
      </c>
      <c r="C26" s="37">
        <v>2</v>
      </c>
      <c r="D26" s="14">
        <v>23129</v>
      </c>
      <c r="E26" s="14">
        <f t="shared" ref="E26" si="4">D26*C26</f>
        <v>46258</v>
      </c>
      <c r="F26" s="11" t="s">
        <v>180</v>
      </c>
      <c r="G26" s="54">
        <v>11</v>
      </c>
    </row>
    <row r="27" spans="1:7" s="17" customFormat="1" ht="18" outlineLevel="2" x14ac:dyDescent="0.45">
      <c r="A27" s="7"/>
      <c r="B27" s="11"/>
      <c r="C27" s="37"/>
      <c r="D27" s="14"/>
      <c r="E27" s="14"/>
      <c r="F27" s="14"/>
      <c r="G27" s="54"/>
    </row>
    <row r="28" spans="1:7" s="17" customFormat="1" ht="18" outlineLevel="1" x14ac:dyDescent="0.45">
      <c r="A28" s="75" t="s">
        <v>160</v>
      </c>
      <c r="B28" s="75"/>
      <c r="C28" s="75"/>
      <c r="D28" s="75"/>
      <c r="E28" s="75"/>
      <c r="F28" s="53"/>
      <c r="G28" s="54"/>
    </row>
    <row r="29" spans="1:7" s="17" customFormat="1" ht="54" outlineLevel="2" x14ac:dyDescent="0.45">
      <c r="A29" s="12"/>
      <c r="B29" s="11" t="s">
        <v>181</v>
      </c>
      <c r="C29" s="12">
        <v>1</v>
      </c>
      <c r="D29" s="14" t="s">
        <v>35</v>
      </c>
      <c r="E29" s="14">
        <f t="shared" ref="E29" si="5">D29*C29</f>
        <v>1383</v>
      </c>
      <c r="F29" s="11" t="s">
        <v>182</v>
      </c>
      <c r="G29" s="54"/>
    </row>
    <row r="30" spans="1:7" s="17" customFormat="1" ht="18" outlineLevel="2" x14ac:dyDescent="0.45">
      <c r="A30" s="7"/>
      <c r="B30" s="11"/>
      <c r="C30" s="37"/>
      <c r="D30" s="14"/>
      <c r="E30" s="14"/>
      <c r="F30" s="14"/>
      <c r="G30" s="54"/>
    </row>
    <row r="31" spans="1:7" s="17" customFormat="1" ht="18" outlineLevel="1" x14ac:dyDescent="0.45">
      <c r="A31" s="75" t="s">
        <v>161</v>
      </c>
      <c r="B31" s="75"/>
      <c r="C31" s="75"/>
      <c r="D31" s="75"/>
      <c r="E31" s="75"/>
      <c r="F31" s="53"/>
      <c r="G31" s="54"/>
    </row>
    <row r="32" spans="1:7" s="17" customFormat="1" ht="18" outlineLevel="2" x14ac:dyDescent="0.45">
      <c r="A32" s="7"/>
      <c r="B32" s="10" t="s">
        <v>21</v>
      </c>
      <c r="C32" s="7">
        <v>1</v>
      </c>
      <c r="D32" s="47">
        <v>459</v>
      </c>
      <c r="E32" s="47">
        <f>D32*C32</f>
        <v>459</v>
      </c>
      <c r="F32" s="47"/>
      <c r="G32" s="54"/>
    </row>
    <row r="33" spans="1:8" s="17" customFormat="1" ht="136.15" customHeight="1" outlineLevel="2" x14ac:dyDescent="0.45">
      <c r="A33" s="7"/>
      <c r="B33" s="46" t="s">
        <v>189</v>
      </c>
      <c r="C33" s="7">
        <v>1</v>
      </c>
      <c r="D33" s="49">
        <v>1027</v>
      </c>
      <c r="E33" s="48">
        <f t="shared" ref="E33:E36" si="6">D33*C33</f>
        <v>1027</v>
      </c>
      <c r="F33" s="13" t="s">
        <v>190</v>
      </c>
      <c r="H33" s="50" t="s">
        <v>145</v>
      </c>
    </row>
    <row r="34" spans="1:8" s="17" customFormat="1" ht="126" outlineLevel="2" x14ac:dyDescent="0.45">
      <c r="A34" s="7"/>
      <c r="B34" s="13" t="s">
        <v>191</v>
      </c>
      <c r="C34" s="38">
        <v>1</v>
      </c>
      <c r="D34" s="14">
        <v>799</v>
      </c>
      <c r="E34" s="48">
        <f t="shared" si="6"/>
        <v>799</v>
      </c>
      <c r="F34" s="13" t="s">
        <v>192</v>
      </c>
      <c r="G34" s="54"/>
    </row>
    <row r="35" spans="1:8" s="17" customFormat="1" ht="108" outlineLevel="2" x14ac:dyDescent="0.45">
      <c r="A35" s="12"/>
      <c r="B35" s="13" t="s">
        <v>183</v>
      </c>
      <c r="C35" s="12">
        <v>1</v>
      </c>
      <c r="D35" s="55" t="s">
        <v>27</v>
      </c>
      <c r="E35" s="48">
        <f t="shared" si="6"/>
        <v>1642</v>
      </c>
      <c r="F35" s="13" t="s">
        <v>184</v>
      </c>
      <c r="G35" s="54"/>
      <c r="H35" s="17" t="s">
        <v>199</v>
      </c>
    </row>
    <row r="36" spans="1:8" s="17" customFormat="1" ht="108" outlineLevel="2" x14ac:dyDescent="0.45">
      <c r="A36" s="12"/>
      <c r="B36" s="13" t="s">
        <v>185</v>
      </c>
      <c r="C36" s="12">
        <v>1</v>
      </c>
      <c r="D36" s="55">
        <v>1150</v>
      </c>
      <c r="E36" s="48">
        <f t="shared" si="6"/>
        <v>1150</v>
      </c>
      <c r="F36" s="13" t="s">
        <v>184</v>
      </c>
      <c r="G36" s="54"/>
    </row>
    <row r="37" spans="1:8" s="17" customFormat="1" ht="18" outlineLevel="2" x14ac:dyDescent="0.45">
      <c r="A37" s="12"/>
      <c r="B37" s="11" t="s">
        <v>11</v>
      </c>
      <c r="C37" s="12">
        <v>1</v>
      </c>
      <c r="D37" s="14" t="s">
        <v>26</v>
      </c>
      <c r="E37" s="14">
        <f>D37*C37</f>
        <v>217</v>
      </c>
      <c r="F37" s="14"/>
      <c r="G37" s="54"/>
    </row>
    <row r="38" spans="1:8" s="17" customFormat="1" ht="18" outlineLevel="2" x14ac:dyDescent="0.45">
      <c r="A38" s="12"/>
      <c r="B38" s="13" t="s">
        <v>78</v>
      </c>
      <c r="C38" s="38">
        <v>1</v>
      </c>
      <c r="D38" s="14">
        <v>950</v>
      </c>
      <c r="E38" s="14">
        <f>D38*C38</f>
        <v>950</v>
      </c>
      <c r="F38" s="14"/>
      <c r="G38" s="54"/>
    </row>
    <row r="39" spans="1:8" s="17" customFormat="1" ht="18" outlineLevel="2" x14ac:dyDescent="0.45">
      <c r="A39" s="12"/>
      <c r="B39" s="11" t="s">
        <v>97</v>
      </c>
      <c r="C39" s="12">
        <v>1</v>
      </c>
      <c r="D39" s="14">
        <v>47.5</v>
      </c>
      <c r="E39" s="14">
        <f>D39*C39</f>
        <v>47.5</v>
      </c>
      <c r="F39" s="14"/>
      <c r="G39" s="54"/>
    </row>
    <row r="40" spans="1:8" s="17" customFormat="1" ht="72" outlineLevel="2" x14ac:dyDescent="0.45">
      <c r="A40" s="12"/>
      <c r="B40" s="11" t="s">
        <v>186</v>
      </c>
      <c r="C40" s="12">
        <v>1</v>
      </c>
      <c r="D40" s="14">
        <v>779</v>
      </c>
      <c r="E40" s="14">
        <f>D40*C40</f>
        <v>779</v>
      </c>
      <c r="F40" s="11" t="s">
        <v>187</v>
      </c>
      <c r="G40" s="54"/>
    </row>
    <row r="41" spans="1:8" s="17" customFormat="1" ht="72" outlineLevel="2" x14ac:dyDescent="0.45">
      <c r="A41" s="12"/>
      <c r="B41" s="11" t="s">
        <v>188</v>
      </c>
      <c r="C41" s="12">
        <v>1</v>
      </c>
      <c r="D41" s="55"/>
      <c r="E41" s="14">
        <f>D41*C41</f>
        <v>0</v>
      </c>
      <c r="F41" s="11" t="s">
        <v>187</v>
      </c>
      <c r="G41" s="54"/>
    </row>
    <row r="43" spans="1:8" x14ac:dyDescent="0.6">
      <c r="B43" s="51" t="s">
        <v>147</v>
      </c>
    </row>
    <row r="45" spans="1:8" x14ac:dyDescent="0.6">
      <c r="B45" s="51"/>
    </row>
    <row r="46" spans="1:8" x14ac:dyDescent="0.6">
      <c r="B46" s="51"/>
    </row>
  </sheetData>
  <mergeCells count="10">
    <mergeCell ref="A2:E2"/>
    <mergeCell ref="A18:E18"/>
    <mergeCell ref="A25:E25"/>
    <mergeCell ref="A8:E8"/>
    <mergeCell ref="A3:E3"/>
    <mergeCell ref="A21:E21"/>
    <mergeCell ref="A31:E31"/>
    <mergeCell ref="A28:E28"/>
    <mergeCell ref="A16:E16"/>
    <mergeCell ref="A13:E13"/>
  </mergeCells>
  <pageMargins left="0.7" right="0.7" top="0.75" bottom="0.75" header="0.3" footer="0.3"/>
  <pageSetup paperSize="9" scale="2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1BC59-E0C5-486B-B3B9-EF65BE7B5BB3}">
  <dimension ref="A1:L70"/>
  <sheetViews>
    <sheetView view="pageBreakPreview" zoomScale="55" zoomScaleNormal="40" zoomScaleSheetLayoutView="55" workbookViewId="0">
      <selection activeCell="E71" sqref="E71"/>
    </sheetView>
  </sheetViews>
  <sheetFormatPr defaultColWidth="8.86328125" defaultRowHeight="16.5" outlineLevelRow="1" x14ac:dyDescent="0.6"/>
  <cols>
    <col min="1" max="1" width="8.86328125" style="6"/>
    <col min="2" max="2" width="110.53125" style="6" customWidth="1"/>
    <col min="3" max="3" width="19.53125" style="41" bestFit="1" customWidth="1"/>
    <col min="4" max="4" width="17.53125" style="23" customWidth="1"/>
    <col min="5" max="5" width="24.19921875" style="24" bestFit="1" customWidth="1"/>
    <col min="6" max="6" width="91.46484375" style="24" bestFit="1" customWidth="1"/>
    <col min="7" max="7" width="17.06640625" style="21" bestFit="1" customWidth="1"/>
    <col min="8" max="16384" width="8.86328125" style="21"/>
  </cols>
  <sheetData>
    <row r="1" spans="1:8" s="17" customFormat="1" ht="50.65" customHeight="1" x14ac:dyDescent="0.45">
      <c r="A1" s="15" t="s">
        <v>0</v>
      </c>
      <c r="B1" s="15" t="s">
        <v>83</v>
      </c>
      <c r="C1" s="36" t="s">
        <v>84</v>
      </c>
      <c r="D1" s="16" t="s">
        <v>85</v>
      </c>
      <c r="E1" s="16" t="s">
        <v>86</v>
      </c>
      <c r="F1" s="16" t="s">
        <v>164</v>
      </c>
      <c r="G1" s="16" t="s">
        <v>162</v>
      </c>
    </row>
    <row r="2" spans="1:8" s="17" customFormat="1" ht="18" x14ac:dyDescent="0.45">
      <c r="A2" s="74" t="s">
        <v>115</v>
      </c>
      <c r="B2" s="74"/>
      <c r="C2" s="74"/>
      <c r="D2" s="74"/>
      <c r="E2" s="74"/>
      <c r="F2" s="43"/>
      <c r="G2" s="50"/>
    </row>
    <row r="3" spans="1:8" s="17" customFormat="1" ht="18" x14ac:dyDescent="0.45">
      <c r="A3" s="74" t="s">
        <v>202</v>
      </c>
      <c r="B3" s="74"/>
      <c r="C3" s="74"/>
      <c r="D3" s="74"/>
      <c r="E3" s="74"/>
      <c r="F3" s="43"/>
      <c r="G3" s="50"/>
    </row>
    <row r="4" spans="1:8" s="17" customFormat="1" ht="18" outlineLevel="1" x14ac:dyDescent="0.45">
      <c r="A4" s="12"/>
      <c r="B4" s="13" t="s">
        <v>46</v>
      </c>
      <c r="C4" s="38">
        <v>1</v>
      </c>
      <c r="D4" s="14">
        <v>8471</v>
      </c>
      <c r="E4" s="14">
        <f>D4*C4</f>
        <v>8471</v>
      </c>
      <c r="F4" s="14"/>
      <c r="G4" s="50"/>
    </row>
    <row r="5" spans="1:8" s="17" customFormat="1" ht="18" x14ac:dyDescent="0.45">
      <c r="A5" s="74" t="s">
        <v>203</v>
      </c>
      <c r="B5" s="74"/>
      <c r="C5" s="74"/>
      <c r="D5" s="74"/>
      <c r="E5" s="74"/>
      <c r="F5" s="43"/>
      <c r="G5" s="50"/>
    </row>
    <row r="6" spans="1:8" s="17" customFormat="1" ht="125.25" customHeight="1" outlineLevel="1" x14ac:dyDescent="0.45">
      <c r="A6" s="12"/>
      <c r="B6" s="13" t="s">
        <v>205</v>
      </c>
      <c r="C6" s="38">
        <v>1</v>
      </c>
      <c r="D6" s="14">
        <v>420</v>
      </c>
      <c r="E6" s="14">
        <f>D6*C6</f>
        <v>420</v>
      </c>
      <c r="F6" s="13" t="s">
        <v>206</v>
      </c>
      <c r="G6" s="50"/>
    </row>
    <row r="7" spans="1:8" s="17" customFormat="1" ht="18" x14ac:dyDescent="0.45">
      <c r="A7" s="74" t="s">
        <v>204</v>
      </c>
      <c r="B7" s="74"/>
      <c r="C7" s="74"/>
      <c r="D7" s="74"/>
      <c r="E7" s="74"/>
      <c r="F7" s="43"/>
      <c r="G7" s="50"/>
    </row>
    <row r="8" spans="1:8" s="17" customFormat="1" ht="72" outlineLevel="1" x14ac:dyDescent="0.45">
      <c r="A8" s="12"/>
      <c r="B8" s="11" t="s">
        <v>186</v>
      </c>
      <c r="C8" s="42">
        <v>1</v>
      </c>
      <c r="D8" s="14">
        <v>779</v>
      </c>
      <c r="E8" s="14">
        <f t="shared" ref="E8:E13" si="0">D8*C8</f>
        <v>779</v>
      </c>
      <c r="F8" s="13" t="s">
        <v>187</v>
      </c>
      <c r="G8" s="50"/>
    </row>
    <row r="9" spans="1:8" s="17" customFormat="1" ht="18" outlineLevel="1" x14ac:dyDescent="0.45">
      <c r="A9" s="12"/>
      <c r="B9" s="13" t="s">
        <v>78</v>
      </c>
      <c r="C9" s="38">
        <v>1</v>
      </c>
      <c r="D9" s="14">
        <v>760</v>
      </c>
      <c r="E9" s="14">
        <f t="shared" si="0"/>
        <v>760</v>
      </c>
      <c r="F9" s="14"/>
      <c r="G9" s="50"/>
    </row>
    <row r="10" spans="1:8" s="17" customFormat="1" ht="108" outlineLevel="1" x14ac:dyDescent="0.45">
      <c r="A10" s="12"/>
      <c r="B10" s="13" t="s">
        <v>183</v>
      </c>
      <c r="C10" s="12">
        <v>1</v>
      </c>
      <c r="D10" s="55" t="s">
        <v>27</v>
      </c>
      <c r="E10" s="48">
        <f t="shared" si="0"/>
        <v>1642</v>
      </c>
      <c r="F10" s="13" t="s">
        <v>184</v>
      </c>
      <c r="G10" s="54"/>
      <c r="H10" s="17" t="s">
        <v>199</v>
      </c>
    </row>
    <row r="11" spans="1:8" s="17" customFormat="1" ht="108" outlineLevel="1" x14ac:dyDescent="0.45">
      <c r="A11" s="12"/>
      <c r="B11" s="13" t="s">
        <v>185</v>
      </c>
      <c r="C11" s="12">
        <v>1</v>
      </c>
      <c r="D11" s="55">
        <v>1150</v>
      </c>
      <c r="E11" s="48">
        <f t="shared" si="0"/>
        <v>1150</v>
      </c>
      <c r="F11" s="13" t="s">
        <v>184</v>
      </c>
      <c r="G11" s="54"/>
    </row>
    <row r="12" spans="1:8" s="17" customFormat="1" ht="18" outlineLevel="1" x14ac:dyDescent="0.45">
      <c r="A12" s="12"/>
      <c r="B12" s="13" t="s">
        <v>11</v>
      </c>
      <c r="C12" s="38">
        <v>1</v>
      </c>
      <c r="D12" s="14">
        <v>217</v>
      </c>
      <c r="E12" s="14">
        <f t="shared" si="0"/>
        <v>217</v>
      </c>
      <c r="F12" s="14"/>
      <c r="G12" s="50"/>
    </row>
    <row r="13" spans="1:8" s="17" customFormat="1" ht="18" outlineLevel="1" x14ac:dyDescent="0.45">
      <c r="A13" s="12"/>
      <c r="B13" s="11" t="s">
        <v>21</v>
      </c>
      <c r="C13" s="38">
        <v>1</v>
      </c>
      <c r="D13" s="14">
        <v>459</v>
      </c>
      <c r="E13" s="14">
        <f t="shared" si="0"/>
        <v>459</v>
      </c>
      <c r="F13" s="14"/>
      <c r="G13" s="50"/>
    </row>
    <row r="14" spans="1:8" s="17" customFormat="1" ht="18" customHeight="1" x14ac:dyDescent="0.45">
      <c r="A14" s="74" t="s">
        <v>114</v>
      </c>
      <c r="B14" s="74"/>
      <c r="C14" s="74"/>
      <c r="D14" s="74"/>
      <c r="E14" s="74"/>
      <c r="F14" s="43"/>
      <c r="G14" s="50"/>
    </row>
    <row r="15" spans="1:8" s="17" customFormat="1" ht="18" x14ac:dyDescent="0.45">
      <c r="A15" s="74" t="s">
        <v>207</v>
      </c>
      <c r="B15" s="74"/>
      <c r="C15" s="74"/>
      <c r="D15" s="74"/>
      <c r="E15" s="74"/>
      <c r="F15" s="43"/>
      <c r="G15" s="50"/>
    </row>
    <row r="16" spans="1:8" s="17" customFormat="1" ht="72" outlineLevel="1" x14ac:dyDescent="0.45">
      <c r="A16" s="12"/>
      <c r="B16" s="13" t="s">
        <v>61</v>
      </c>
      <c r="C16" s="38">
        <v>1</v>
      </c>
      <c r="D16" s="14">
        <v>41200</v>
      </c>
      <c r="E16" s="14">
        <f>D16*C16</f>
        <v>41200</v>
      </c>
      <c r="F16" s="14"/>
      <c r="G16" s="50"/>
    </row>
    <row r="17" spans="1:7" s="17" customFormat="1" ht="56" customHeight="1" outlineLevel="1" x14ac:dyDescent="0.45">
      <c r="A17" s="12"/>
      <c r="B17" s="13" t="s">
        <v>80</v>
      </c>
      <c r="C17" s="38">
        <v>1</v>
      </c>
      <c r="D17" s="14">
        <v>5200</v>
      </c>
      <c r="E17" s="14">
        <f>D17*C17</f>
        <v>5200</v>
      </c>
      <c r="F17" s="14"/>
      <c r="G17" s="50"/>
    </row>
    <row r="18" spans="1:7" s="17" customFormat="1" ht="18" x14ac:dyDescent="0.45">
      <c r="A18" s="74" t="s">
        <v>208</v>
      </c>
      <c r="B18" s="74"/>
      <c r="C18" s="74"/>
      <c r="D18" s="74"/>
      <c r="E18" s="74"/>
      <c r="F18" s="43"/>
      <c r="G18" s="50"/>
    </row>
    <row r="19" spans="1:7" s="17" customFormat="1" ht="72" outlineLevel="1" x14ac:dyDescent="0.45">
      <c r="A19" s="12"/>
      <c r="B19" s="11" t="s">
        <v>186</v>
      </c>
      <c r="C19" s="12">
        <v>1</v>
      </c>
      <c r="D19" s="14">
        <v>779</v>
      </c>
      <c r="E19" s="14">
        <f>D19*C19</f>
        <v>779</v>
      </c>
      <c r="F19" s="11" t="s">
        <v>187</v>
      </c>
      <c r="G19" s="54"/>
    </row>
    <row r="20" spans="1:7" s="17" customFormat="1" ht="72" outlineLevel="1" x14ac:dyDescent="0.45">
      <c r="A20" s="12"/>
      <c r="B20" s="11" t="s">
        <v>188</v>
      </c>
      <c r="C20" s="12">
        <v>1</v>
      </c>
      <c r="D20" s="55"/>
      <c r="E20" s="14">
        <f>D20*C20</f>
        <v>0</v>
      </c>
      <c r="F20" s="11" t="s">
        <v>187</v>
      </c>
      <c r="G20" s="54"/>
    </row>
    <row r="21" spans="1:7" s="17" customFormat="1" ht="126" outlineLevel="1" x14ac:dyDescent="0.45">
      <c r="A21" s="12"/>
      <c r="B21" s="13" t="s">
        <v>42</v>
      </c>
      <c r="C21" s="38">
        <v>1</v>
      </c>
      <c r="D21" s="14">
        <v>799</v>
      </c>
      <c r="E21" s="14">
        <f>D21*C21</f>
        <v>799</v>
      </c>
      <c r="F21" s="14"/>
      <c r="G21" s="50"/>
    </row>
    <row r="22" spans="1:7" s="17" customFormat="1" ht="18" outlineLevel="1" x14ac:dyDescent="0.45">
      <c r="A22" s="12"/>
      <c r="B22" s="11" t="s">
        <v>97</v>
      </c>
      <c r="C22" s="38">
        <v>1</v>
      </c>
      <c r="D22" s="14" t="s">
        <v>163</v>
      </c>
      <c r="E22" s="14" t="e">
        <f>D22*C22</f>
        <v>#VALUE!</v>
      </c>
      <c r="F22" s="14"/>
      <c r="G22" s="50"/>
    </row>
    <row r="23" spans="1:7" s="17" customFormat="1" ht="56" customHeight="1" outlineLevel="1" x14ac:dyDescent="0.45">
      <c r="A23" s="12"/>
      <c r="B23" s="66"/>
      <c r="C23" s="38"/>
      <c r="D23" s="14"/>
      <c r="E23" s="14"/>
      <c r="F23" s="14"/>
      <c r="G23" s="50"/>
    </row>
    <row r="24" spans="1:7" s="17" customFormat="1" ht="72" outlineLevel="1" x14ac:dyDescent="0.45">
      <c r="A24" s="12"/>
      <c r="B24" s="13" t="s">
        <v>79</v>
      </c>
      <c r="C24" s="38">
        <v>1</v>
      </c>
      <c r="D24" s="14">
        <v>787.2</v>
      </c>
      <c r="E24" s="14">
        <f>D24*C24</f>
        <v>787.2</v>
      </c>
      <c r="F24" s="14"/>
      <c r="G24" s="50"/>
    </row>
    <row r="25" spans="1:7" s="17" customFormat="1" ht="18" outlineLevel="1" x14ac:dyDescent="0.45">
      <c r="A25" s="12"/>
      <c r="B25" s="13" t="s">
        <v>43</v>
      </c>
      <c r="C25" s="38">
        <v>1</v>
      </c>
      <c r="D25" s="14">
        <v>190</v>
      </c>
      <c r="E25" s="14">
        <f>D25*C25</f>
        <v>190</v>
      </c>
      <c r="F25" s="14"/>
      <c r="G25" s="50"/>
    </row>
    <row r="26" spans="1:7" s="17" customFormat="1" ht="18" customHeight="1" x14ac:dyDescent="0.45">
      <c r="A26" s="74" t="s">
        <v>113</v>
      </c>
      <c r="B26" s="74"/>
      <c r="C26" s="74"/>
      <c r="D26" s="74"/>
      <c r="E26" s="74"/>
      <c r="F26" s="43"/>
      <c r="G26" s="43"/>
    </row>
    <row r="27" spans="1:7" s="17" customFormat="1" ht="18" x14ac:dyDescent="0.45">
      <c r="A27" s="74" t="s">
        <v>209</v>
      </c>
      <c r="B27" s="74"/>
      <c r="C27" s="74"/>
      <c r="D27" s="74"/>
      <c r="E27" s="74"/>
      <c r="F27" s="43"/>
      <c r="G27" s="50"/>
    </row>
    <row r="28" spans="1:7" s="17" customFormat="1" ht="125.25" customHeight="1" outlineLevel="1" x14ac:dyDescent="0.45">
      <c r="A28" s="12"/>
      <c r="B28" s="11" t="s">
        <v>197</v>
      </c>
      <c r="C28" s="38">
        <v>1</v>
      </c>
      <c r="D28" s="14">
        <f>28500</f>
        <v>28500</v>
      </c>
      <c r="E28" s="14">
        <f>D28*C28</f>
        <v>28500</v>
      </c>
      <c r="F28" s="11" t="s">
        <v>198</v>
      </c>
      <c r="G28" s="50"/>
    </row>
    <row r="29" spans="1:7" s="17" customFormat="1" ht="33.4" customHeight="1" outlineLevel="1" x14ac:dyDescent="0.45">
      <c r="A29" s="12"/>
      <c r="B29" s="65"/>
      <c r="C29" s="38"/>
      <c r="D29" s="14"/>
      <c r="E29" s="14"/>
      <c r="F29" s="11"/>
      <c r="G29" s="50"/>
    </row>
    <row r="30" spans="1:7" s="17" customFormat="1" ht="72" outlineLevel="1" x14ac:dyDescent="0.45">
      <c r="A30" s="12"/>
      <c r="B30" s="11" t="s">
        <v>210</v>
      </c>
      <c r="C30" s="38">
        <v>1</v>
      </c>
      <c r="D30" s="14">
        <v>22200</v>
      </c>
      <c r="E30" s="14">
        <f t="shared" ref="E30" si="1">D30*C30</f>
        <v>22200</v>
      </c>
      <c r="F30" s="58" t="s">
        <v>211</v>
      </c>
      <c r="G30" s="50"/>
    </row>
    <row r="31" spans="1:7" s="17" customFormat="1" ht="18" outlineLevel="1" x14ac:dyDescent="0.45">
      <c r="A31" s="12"/>
      <c r="B31" s="65"/>
      <c r="C31" s="38"/>
      <c r="D31" s="14"/>
      <c r="E31" s="14"/>
      <c r="F31" s="14"/>
      <c r="G31" s="50"/>
    </row>
    <row r="32" spans="1:7" outlineLevel="1" x14ac:dyDescent="0.6"/>
    <row r="33" spans="1:7" s="17" customFormat="1" ht="18" x14ac:dyDescent="0.45">
      <c r="A33" s="74" t="s">
        <v>212</v>
      </c>
      <c r="B33" s="74"/>
      <c r="C33" s="74"/>
      <c r="D33" s="74"/>
      <c r="E33" s="74"/>
      <c r="F33" s="43"/>
      <c r="G33" s="50"/>
    </row>
    <row r="34" spans="1:7" s="17" customFormat="1" ht="72" outlineLevel="1" x14ac:dyDescent="0.45">
      <c r="A34" s="12"/>
      <c r="B34" s="11" t="s">
        <v>2</v>
      </c>
      <c r="C34" s="38">
        <v>1</v>
      </c>
      <c r="D34" s="55"/>
      <c r="E34" s="14">
        <f t="shared" ref="E34:E63" si="2">D34*C34</f>
        <v>0</v>
      </c>
      <c r="F34" s="14"/>
      <c r="G34" s="50"/>
    </row>
    <row r="35" spans="1:7" s="17" customFormat="1" ht="18" outlineLevel="1" x14ac:dyDescent="0.45">
      <c r="A35" s="12"/>
      <c r="B35" s="11" t="s">
        <v>39</v>
      </c>
      <c r="C35" s="38">
        <v>1</v>
      </c>
      <c r="D35" s="55">
        <f>D34</f>
        <v>0</v>
      </c>
      <c r="E35" s="14">
        <f>D35*C35</f>
        <v>0</v>
      </c>
      <c r="F35" s="14"/>
      <c r="G35" s="50"/>
    </row>
    <row r="36" spans="1:7" s="17" customFormat="1" ht="18" outlineLevel="1" x14ac:dyDescent="0.45">
      <c r="A36" s="11"/>
      <c r="B36" s="11" t="s">
        <v>3</v>
      </c>
      <c r="C36" s="68"/>
      <c r="D36" s="67"/>
      <c r="E36" s="67"/>
      <c r="F36" s="60"/>
      <c r="G36" s="69"/>
    </row>
    <row r="37" spans="1:7" s="17" customFormat="1" ht="18" x14ac:dyDescent="0.45">
      <c r="A37" s="74" t="s">
        <v>213</v>
      </c>
      <c r="B37" s="74"/>
      <c r="C37" s="74"/>
      <c r="D37" s="74"/>
      <c r="E37" s="74"/>
      <c r="F37" s="43"/>
      <c r="G37" s="50"/>
    </row>
    <row r="38" spans="1:7" s="17" customFormat="1" ht="126" outlineLevel="1" x14ac:dyDescent="0.45">
      <c r="A38" s="12"/>
      <c r="B38" s="11" t="s">
        <v>38</v>
      </c>
      <c r="C38" s="38">
        <v>1</v>
      </c>
      <c r="D38" s="14">
        <v>5743</v>
      </c>
      <c r="E38" s="14">
        <f t="shared" si="2"/>
        <v>5743</v>
      </c>
      <c r="F38" s="14"/>
      <c r="G38" s="50"/>
    </row>
    <row r="39" spans="1:7" s="17" customFormat="1" ht="18" outlineLevel="1" x14ac:dyDescent="0.45">
      <c r="A39" s="11"/>
      <c r="B39" s="11" t="s">
        <v>4</v>
      </c>
      <c r="C39" s="68"/>
      <c r="D39" s="67"/>
      <c r="E39" s="67"/>
      <c r="F39" s="61"/>
      <c r="G39" s="70"/>
    </row>
    <row r="40" spans="1:7" s="17" customFormat="1" ht="18" outlineLevel="1" x14ac:dyDescent="0.45">
      <c r="A40" s="11"/>
      <c r="B40" s="11" t="s">
        <v>5</v>
      </c>
      <c r="C40" s="68"/>
      <c r="D40" s="67"/>
      <c r="E40" s="67"/>
      <c r="F40" s="61"/>
      <c r="G40" s="70"/>
    </row>
    <row r="41" spans="1:7" s="17" customFormat="1" ht="18" outlineLevel="1" x14ac:dyDescent="0.45">
      <c r="A41" s="11"/>
      <c r="B41" s="11" t="s">
        <v>6</v>
      </c>
      <c r="C41" s="68"/>
      <c r="D41" s="67"/>
      <c r="E41" s="67"/>
      <c r="F41" s="61"/>
      <c r="G41" s="70"/>
    </row>
    <row r="42" spans="1:7" s="17" customFormat="1" ht="36" outlineLevel="1" x14ac:dyDescent="0.45">
      <c r="A42" s="11"/>
      <c r="B42" s="11" t="s">
        <v>10</v>
      </c>
      <c r="C42" s="68"/>
      <c r="D42" s="67"/>
      <c r="E42" s="67"/>
      <c r="F42" s="62"/>
      <c r="G42" s="71"/>
    </row>
    <row r="43" spans="1:7" s="17" customFormat="1" ht="18" x14ac:dyDescent="0.45">
      <c r="A43" s="74" t="s">
        <v>214</v>
      </c>
      <c r="B43" s="74"/>
      <c r="C43" s="74"/>
      <c r="D43" s="74"/>
      <c r="E43" s="74"/>
      <c r="F43" s="43"/>
      <c r="G43" s="50"/>
    </row>
    <row r="44" spans="1:7" s="17" customFormat="1" ht="18" outlineLevel="1" x14ac:dyDescent="0.45">
      <c r="A44" s="11"/>
      <c r="B44" s="11" t="s">
        <v>7</v>
      </c>
      <c r="C44" s="68"/>
      <c r="D44" s="67"/>
      <c r="E44" s="67"/>
      <c r="F44" s="61"/>
      <c r="G44" s="70"/>
    </row>
    <row r="45" spans="1:7" s="17" customFormat="1" ht="18" x14ac:dyDescent="0.45">
      <c r="A45" s="74" t="s">
        <v>215</v>
      </c>
      <c r="B45" s="74"/>
      <c r="C45" s="74"/>
      <c r="D45" s="74"/>
      <c r="E45" s="74"/>
      <c r="F45" s="43"/>
      <c r="G45" s="50"/>
    </row>
    <row r="46" spans="1:7" s="17" customFormat="1" ht="18" outlineLevel="1" x14ac:dyDescent="0.45">
      <c r="A46" s="11"/>
      <c r="B46" s="11" t="s">
        <v>8</v>
      </c>
      <c r="C46" s="68"/>
      <c r="D46" s="67"/>
      <c r="E46" s="67"/>
      <c r="F46" s="61"/>
      <c r="G46" s="70"/>
    </row>
    <row r="47" spans="1:7" s="17" customFormat="1" ht="18" outlineLevel="1" x14ac:dyDescent="0.45">
      <c r="A47" s="11"/>
      <c r="B47" s="11" t="s">
        <v>9</v>
      </c>
      <c r="C47" s="68"/>
      <c r="D47" s="67"/>
      <c r="E47" s="67"/>
      <c r="F47" s="61"/>
      <c r="G47" s="70"/>
    </row>
    <row r="48" spans="1:7" s="17" customFormat="1" ht="18" outlineLevel="1" x14ac:dyDescent="0.45">
      <c r="A48" s="11"/>
      <c r="B48" s="11" t="s">
        <v>216</v>
      </c>
      <c r="C48" s="68"/>
      <c r="D48" s="67"/>
      <c r="E48" s="67"/>
      <c r="F48" s="61"/>
      <c r="G48" s="70"/>
    </row>
    <row r="49" spans="1:7" s="17" customFormat="1" ht="18" outlineLevel="1" x14ac:dyDescent="0.45">
      <c r="A49" s="11"/>
      <c r="B49" s="11" t="s">
        <v>217</v>
      </c>
      <c r="C49" s="68"/>
      <c r="D49" s="67"/>
      <c r="E49" s="67"/>
      <c r="F49" s="61"/>
      <c r="G49" s="70"/>
    </row>
    <row r="50" spans="1:7" s="17" customFormat="1" ht="18" outlineLevel="1" x14ac:dyDescent="0.45">
      <c r="A50" s="11"/>
      <c r="B50" s="11" t="s">
        <v>218</v>
      </c>
      <c r="C50" s="68"/>
      <c r="D50" s="67"/>
      <c r="E50" s="67"/>
      <c r="F50" s="61"/>
      <c r="G50" s="70"/>
    </row>
    <row r="51" spans="1:7" s="17" customFormat="1" ht="18" outlineLevel="1" x14ac:dyDescent="0.45">
      <c r="A51" s="11"/>
      <c r="B51" s="11" t="s">
        <v>219</v>
      </c>
      <c r="C51" s="68"/>
      <c r="D51" s="67"/>
      <c r="E51" s="67"/>
      <c r="F51" s="61"/>
      <c r="G51" s="70"/>
    </row>
    <row r="52" spans="1:7" s="17" customFormat="1" ht="18" outlineLevel="1" x14ac:dyDescent="0.45">
      <c r="A52" s="11"/>
      <c r="B52" s="11" t="s">
        <v>220</v>
      </c>
      <c r="C52" s="68"/>
      <c r="D52" s="67"/>
      <c r="E52" s="67"/>
      <c r="F52" s="61"/>
      <c r="G52" s="70"/>
    </row>
    <row r="53" spans="1:7" s="17" customFormat="1" ht="18" outlineLevel="1" x14ac:dyDescent="0.45">
      <c r="A53" s="11"/>
      <c r="B53" s="11" t="s">
        <v>221</v>
      </c>
      <c r="C53" s="68"/>
      <c r="D53" s="67"/>
      <c r="E53" s="67"/>
      <c r="F53" s="61"/>
      <c r="G53" s="70"/>
    </row>
    <row r="54" spans="1:7" s="17" customFormat="1" ht="18" outlineLevel="1" x14ac:dyDescent="0.45">
      <c r="A54" s="11"/>
      <c r="B54" s="11"/>
      <c r="C54" s="68"/>
      <c r="D54" s="67"/>
      <c r="E54" s="67"/>
      <c r="F54" s="61"/>
      <c r="G54" s="70"/>
    </row>
    <row r="55" spans="1:7" s="17" customFormat="1" ht="18" x14ac:dyDescent="0.45">
      <c r="A55" s="74" t="s">
        <v>222</v>
      </c>
      <c r="B55" s="74"/>
      <c r="C55" s="74"/>
      <c r="D55" s="74"/>
      <c r="E55" s="74"/>
      <c r="F55" s="43"/>
      <c r="G55" s="50"/>
    </row>
    <row r="56" spans="1:7" s="17" customFormat="1" ht="90" outlineLevel="1" x14ac:dyDescent="0.45">
      <c r="A56" s="7"/>
      <c r="B56" s="11" t="s">
        <v>179</v>
      </c>
      <c r="C56" s="37">
        <v>1</v>
      </c>
      <c r="D56" s="14">
        <v>23129</v>
      </c>
      <c r="E56" s="14">
        <f t="shared" si="2"/>
        <v>23129</v>
      </c>
      <c r="F56" s="11" t="s">
        <v>180</v>
      </c>
      <c r="G56" s="50"/>
    </row>
    <row r="57" spans="1:7" s="17" customFormat="1" ht="18" x14ac:dyDescent="0.45">
      <c r="A57" s="74" t="s">
        <v>223</v>
      </c>
      <c r="B57" s="74"/>
      <c r="C57" s="74"/>
      <c r="D57" s="74"/>
      <c r="E57" s="74"/>
      <c r="F57" s="43"/>
      <c r="G57" s="50"/>
    </row>
    <row r="58" spans="1:7" s="17" customFormat="1" ht="30.5" customHeight="1" outlineLevel="1" x14ac:dyDescent="0.45">
      <c r="A58" s="7"/>
      <c r="B58" s="11" t="s">
        <v>59</v>
      </c>
      <c r="C58" s="63">
        <v>80</v>
      </c>
      <c r="D58" s="55">
        <v>116.15</v>
      </c>
      <c r="E58" s="55">
        <f t="shared" si="2"/>
        <v>9292</v>
      </c>
      <c r="F58" s="14"/>
      <c r="G58" s="50"/>
    </row>
    <row r="59" spans="1:7" s="17" customFormat="1" ht="30.4" customHeight="1" outlineLevel="1" x14ac:dyDescent="0.45">
      <c r="A59" s="7"/>
      <c r="B59" s="11" t="s">
        <v>200</v>
      </c>
      <c r="C59" s="64">
        <v>30</v>
      </c>
      <c r="D59" s="55">
        <v>116.15</v>
      </c>
      <c r="E59" s="55">
        <f t="shared" si="2"/>
        <v>3484.5</v>
      </c>
      <c r="F59" s="14"/>
      <c r="G59" s="50"/>
    </row>
    <row r="60" spans="1:7" s="17" customFormat="1" ht="25.5" customHeight="1" outlineLevel="1" x14ac:dyDescent="0.45">
      <c r="A60" s="7"/>
      <c r="B60" s="11" t="s">
        <v>60</v>
      </c>
      <c r="C60" s="63">
        <v>5</v>
      </c>
      <c r="D60" s="55">
        <v>2889</v>
      </c>
      <c r="E60" s="55">
        <f t="shared" si="2"/>
        <v>14445</v>
      </c>
      <c r="F60" s="14"/>
      <c r="G60" s="50"/>
    </row>
    <row r="61" spans="1:7" s="17" customFormat="1" ht="25.5" customHeight="1" outlineLevel="1" x14ac:dyDescent="0.45">
      <c r="A61" s="7"/>
      <c r="B61" s="11" t="s">
        <v>201</v>
      </c>
      <c r="C61" s="64">
        <v>2</v>
      </c>
      <c r="D61" s="55">
        <v>2889</v>
      </c>
      <c r="E61" s="55">
        <f t="shared" si="2"/>
        <v>5778</v>
      </c>
      <c r="F61" s="14"/>
      <c r="G61" s="50"/>
    </row>
    <row r="62" spans="1:7" s="17" customFormat="1" ht="18" x14ac:dyDescent="0.45">
      <c r="A62" s="74" t="s">
        <v>224</v>
      </c>
      <c r="B62" s="74"/>
      <c r="C62" s="74"/>
      <c r="D62" s="74"/>
      <c r="E62" s="74"/>
      <c r="F62" s="7"/>
      <c r="G62" s="8"/>
    </row>
    <row r="63" spans="1:7" s="17" customFormat="1" ht="18" outlineLevel="1" x14ac:dyDescent="0.45">
      <c r="A63" s="7"/>
      <c r="B63" s="8" t="s">
        <v>41</v>
      </c>
      <c r="C63" s="39">
        <v>1</v>
      </c>
      <c r="D63" s="9">
        <v>40</v>
      </c>
      <c r="E63" s="9">
        <f t="shared" si="2"/>
        <v>40</v>
      </c>
      <c r="F63" s="9"/>
      <c r="G63" s="50"/>
    </row>
    <row r="64" spans="1:7" s="17" customFormat="1" ht="18" outlineLevel="1" x14ac:dyDescent="0.45">
      <c r="A64" s="7"/>
      <c r="B64" s="11" t="s">
        <v>40</v>
      </c>
      <c r="C64" s="38">
        <v>1</v>
      </c>
      <c r="D64" s="14">
        <v>797</v>
      </c>
      <c r="E64" s="14">
        <f>D64*C64</f>
        <v>797</v>
      </c>
      <c r="F64" s="14"/>
      <c r="G64" s="50"/>
    </row>
    <row r="65" spans="1:12" s="17" customFormat="1" ht="18" x14ac:dyDescent="0.45">
      <c r="A65" s="74" t="s">
        <v>225</v>
      </c>
      <c r="B65" s="74"/>
      <c r="C65" s="74"/>
      <c r="D65" s="74"/>
      <c r="E65" s="74"/>
      <c r="F65" s="7"/>
      <c r="G65" s="8"/>
    </row>
    <row r="66" spans="1:12" s="17" customFormat="1" ht="18" outlineLevel="1" x14ac:dyDescent="0.45">
      <c r="A66" s="12"/>
      <c r="B66" s="11" t="s">
        <v>63</v>
      </c>
      <c r="C66" s="38">
        <v>1</v>
      </c>
      <c r="D66" s="14">
        <v>6200</v>
      </c>
      <c r="E66" s="14">
        <f>D66*C66</f>
        <v>6200</v>
      </c>
      <c r="F66" s="14"/>
      <c r="G66" s="50"/>
    </row>
    <row r="67" spans="1:12" s="17" customFormat="1" ht="18" outlineLevel="1" x14ac:dyDescent="0.45">
      <c r="A67" s="12"/>
      <c r="B67" s="11" t="s">
        <v>64</v>
      </c>
      <c r="C67" s="38">
        <v>1</v>
      </c>
      <c r="D67" s="14">
        <v>4750</v>
      </c>
      <c r="E67" s="14">
        <f>D67*C67</f>
        <v>4750</v>
      </c>
      <c r="F67" s="14"/>
      <c r="G67" s="50"/>
    </row>
    <row r="68" spans="1:12" x14ac:dyDescent="0.6">
      <c r="H68" s="17"/>
      <c r="I68" s="17"/>
      <c r="J68" s="17"/>
      <c r="K68" s="17"/>
      <c r="L68" s="17"/>
    </row>
    <row r="69" spans="1:12" x14ac:dyDescent="0.6">
      <c r="B69" s="51"/>
    </row>
    <row r="70" spans="1:12" x14ac:dyDescent="0.6">
      <c r="B70" s="51" t="s">
        <v>147</v>
      </c>
    </row>
  </sheetData>
  <mergeCells count="17">
    <mergeCell ref="A2:E2"/>
    <mergeCell ref="A15:E15"/>
    <mergeCell ref="A26:E26"/>
    <mergeCell ref="A33:E33"/>
    <mergeCell ref="A37:E37"/>
    <mergeCell ref="A65:E65"/>
    <mergeCell ref="A3:E3"/>
    <mergeCell ref="A5:E5"/>
    <mergeCell ref="A7:E7"/>
    <mergeCell ref="A18:E18"/>
    <mergeCell ref="A27:E27"/>
    <mergeCell ref="A14:E14"/>
    <mergeCell ref="A43:E43"/>
    <mergeCell ref="A45:E45"/>
    <mergeCell ref="A55:E55"/>
    <mergeCell ref="A57:E57"/>
    <mergeCell ref="A62:E62"/>
  </mergeCells>
  <pageMargins left="0.7" right="0.7" top="0.75" bottom="0.75" header="0.3" footer="0.3"/>
  <pageSetup paperSize="9" scale="2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D2DB1-6FB9-4F8E-A7C5-A320264D798C}">
  <dimension ref="A1:N48"/>
  <sheetViews>
    <sheetView zoomScale="40" zoomScaleNormal="40" workbookViewId="0">
      <selection activeCell="A2" sqref="A2:E48"/>
    </sheetView>
  </sheetViews>
  <sheetFormatPr defaultColWidth="8.86328125" defaultRowHeight="16.5" outlineLevelRow="2" x14ac:dyDescent="0.6"/>
  <cols>
    <col min="1" max="1" width="8.86328125" style="6"/>
    <col min="2" max="2" width="110.53125" style="6" customWidth="1"/>
    <col min="3" max="3" width="19.53125" style="41" bestFit="1" customWidth="1"/>
    <col min="4" max="4" width="17.53125" style="23" customWidth="1"/>
    <col min="5" max="5" width="24.19921875" style="24" bestFit="1" customWidth="1"/>
    <col min="6" max="6" width="49.46484375" style="21" hidden="1" customWidth="1"/>
    <col min="7" max="12" width="8.86328125" style="21" hidden="1" customWidth="1"/>
    <col min="13" max="13" width="17.9296875" style="21" bestFit="1" customWidth="1"/>
    <col min="14" max="14" width="12.1328125" style="21" bestFit="1" customWidth="1"/>
    <col min="15" max="16384" width="8.86328125" style="21"/>
  </cols>
  <sheetData>
    <row r="1" spans="1:14" s="17" customFormat="1" ht="42" x14ac:dyDescent="0.45">
      <c r="A1" s="15" t="s">
        <v>0</v>
      </c>
      <c r="B1" s="15" t="s">
        <v>83</v>
      </c>
      <c r="C1" s="36" t="s">
        <v>84</v>
      </c>
      <c r="D1" s="16" t="s">
        <v>85</v>
      </c>
      <c r="E1" s="16" t="s">
        <v>86</v>
      </c>
    </row>
    <row r="2" spans="1:14" s="17" customFormat="1" ht="18" outlineLevel="1" x14ac:dyDescent="0.45">
      <c r="A2" s="77" t="s">
        <v>116</v>
      </c>
      <c r="B2" s="77"/>
      <c r="C2" s="77"/>
      <c r="D2" s="77"/>
      <c r="E2" s="77"/>
    </row>
    <row r="3" spans="1:14" s="17" customFormat="1" ht="144" outlineLevel="2" x14ac:dyDescent="0.45">
      <c r="A3" s="12">
        <v>50</v>
      </c>
      <c r="B3" s="13" t="s">
        <v>47</v>
      </c>
      <c r="C3" s="38">
        <v>4</v>
      </c>
      <c r="D3" s="14">
        <v>1277</v>
      </c>
      <c r="E3" s="14">
        <f t="shared" ref="E3:E18" si="0">D3*C3</f>
        <v>5108</v>
      </c>
    </row>
    <row r="4" spans="1:14" s="17" customFormat="1" ht="18" outlineLevel="2" x14ac:dyDescent="0.45">
      <c r="A4" s="12">
        <v>51</v>
      </c>
      <c r="B4" s="13" t="s">
        <v>18</v>
      </c>
      <c r="C4" s="38">
        <v>1</v>
      </c>
      <c r="D4" s="14">
        <v>150</v>
      </c>
      <c r="E4" s="14">
        <f t="shared" si="0"/>
        <v>150</v>
      </c>
    </row>
    <row r="5" spans="1:14" s="17" customFormat="1" ht="18" outlineLevel="2" x14ac:dyDescent="0.45">
      <c r="A5" s="12">
        <v>52</v>
      </c>
      <c r="B5" s="13" t="s">
        <v>141</v>
      </c>
      <c r="C5" s="38">
        <v>2</v>
      </c>
      <c r="D5" s="14">
        <v>1516</v>
      </c>
      <c r="E5" s="14">
        <f t="shared" si="0"/>
        <v>3032</v>
      </c>
      <c r="F5" s="17">
        <v>950</v>
      </c>
      <c r="G5" s="18">
        <v>0.2</v>
      </c>
      <c r="H5" s="17">
        <f>F5*G5</f>
        <v>190</v>
      </c>
      <c r="I5" s="17">
        <f>F5-H5</f>
        <v>760</v>
      </c>
      <c r="N5" s="17" t="s">
        <v>104</v>
      </c>
    </row>
    <row r="6" spans="1:14" s="17" customFormat="1" ht="108" outlineLevel="2" x14ac:dyDescent="0.45">
      <c r="A6" s="12">
        <v>53</v>
      </c>
      <c r="B6" s="13" t="s">
        <v>77</v>
      </c>
      <c r="C6" s="12">
        <v>1</v>
      </c>
      <c r="D6" s="14">
        <f>I6</f>
        <v>1149.4000000000001</v>
      </c>
      <c r="E6" s="14">
        <f t="shared" si="0"/>
        <v>1149.4000000000001</v>
      </c>
      <c r="F6" s="29" t="s">
        <v>27</v>
      </c>
      <c r="G6" s="18">
        <v>0.3</v>
      </c>
      <c r="H6" s="17">
        <f>F6*G6</f>
        <v>492.59999999999997</v>
      </c>
      <c r="I6" s="17">
        <f>F6-H6</f>
        <v>1149.4000000000001</v>
      </c>
    </row>
    <row r="7" spans="1:14" s="17" customFormat="1" ht="18" outlineLevel="2" x14ac:dyDescent="0.45">
      <c r="A7" s="12">
        <v>54</v>
      </c>
      <c r="B7" s="13" t="s">
        <v>11</v>
      </c>
      <c r="C7" s="38">
        <v>1</v>
      </c>
      <c r="D7" s="14">
        <v>217</v>
      </c>
      <c r="E7" s="14">
        <f t="shared" si="0"/>
        <v>217</v>
      </c>
    </row>
    <row r="8" spans="1:14" s="17" customFormat="1" ht="18" outlineLevel="2" x14ac:dyDescent="0.45">
      <c r="A8" s="12">
        <v>55</v>
      </c>
      <c r="B8" s="13" t="s">
        <v>62</v>
      </c>
      <c r="C8" s="38">
        <v>2</v>
      </c>
      <c r="D8" s="14">
        <v>500</v>
      </c>
      <c r="E8" s="14">
        <f t="shared" si="0"/>
        <v>1000</v>
      </c>
    </row>
    <row r="9" spans="1:14" s="17" customFormat="1" ht="108" outlineLevel="2" x14ac:dyDescent="0.45">
      <c r="A9" s="12">
        <v>56</v>
      </c>
      <c r="B9" s="13" t="s">
        <v>106</v>
      </c>
      <c r="C9" s="38">
        <v>1</v>
      </c>
      <c r="D9" s="14">
        <v>1883</v>
      </c>
      <c r="E9" s="14">
        <f t="shared" si="0"/>
        <v>1883</v>
      </c>
    </row>
    <row r="10" spans="1:14" s="17" customFormat="1" ht="36" outlineLevel="2" x14ac:dyDescent="0.45">
      <c r="A10" s="12">
        <v>57</v>
      </c>
      <c r="B10" s="11" t="s">
        <v>97</v>
      </c>
      <c r="C10" s="38">
        <v>2</v>
      </c>
      <c r="D10" s="14">
        <f>L10</f>
        <v>47.543936170212767</v>
      </c>
      <c r="E10" s="14">
        <f t="shared" si="0"/>
        <v>95.087872340425534</v>
      </c>
      <c r="F10" s="30" t="s">
        <v>66</v>
      </c>
      <c r="G10" s="19" t="s">
        <v>67</v>
      </c>
      <c r="H10" s="20">
        <f>19431</f>
        <v>19431</v>
      </c>
      <c r="I10" s="18">
        <v>0.15</v>
      </c>
      <c r="J10" s="17">
        <f>H10*I10</f>
        <v>2914.65</v>
      </c>
      <c r="K10" s="17">
        <f>H10+J10</f>
        <v>22345.65</v>
      </c>
      <c r="L10" s="17">
        <f>K10/470</f>
        <v>47.543936170212767</v>
      </c>
      <c r="N10" s="17" t="s">
        <v>104</v>
      </c>
    </row>
    <row r="11" spans="1:14" s="17" customFormat="1" ht="54" outlineLevel="2" x14ac:dyDescent="0.45">
      <c r="A11" s="12">
        <v>58</v>
      </c>
      <c r="B11" s="13" t="s">
        <v>48</v>
      </c>
      <c r="C11" s="38">
        <v>3</v>
      </c>
      <c r="D11" s="14">
        <v>3087</v>
      </c>
      <c r="E11" s="14">
        <f t="shared" si="0"/>
        <v>9261</v>
      </c>
      <c r="N11" s="17" t="s">
        <v>104</v>
      </c>
    </row>
    <row r="12" spans="1:14" s="17" customFormat="1" ht="18" outlineLevel="2" x14ac:dyDescent="0.45">
      <c r="A12" s="12">
        <v>59</v>
      </c>
      <c r="B12" s="13" t="s">
        <v>58</v>
      </c>
      <c r="C12" s="38">
        <v>1</v>
      </c>
      <c r="D12" s="14">
        <v>850</v>
      </c>
      <c r="E12" s="14">
        <f t="shared" si="0"/>
        <v>850</v>
      </c>
    </row>
    <row r="13" spans="1:14" s="17" customFormat="1" ht="90" outlineLevel="2" x14ac:dyDescent="0.45">
      <c r="A13" s="12">
        <v>60</v>
      </c>
      <c r="B13" s="13" t="s">
        <v>105</v>
      </c>
      <c r="C13" s="38">
        <v>2</v>
      </c>
      <c r="D13" s="14">
        <v>1394</v>
      </c>
      <c r="E13" s="14">
        <f t="shared" si="0"/>
        <v>2788</v>
      </c>
    </row>
    <row r="14" spans="1:14" s="17" customFormat="1" ht="54" outlineLevel="2" x14ac:dyDescent="0.45">
      <c r="A14" s="12">
        <v>61</v>
      </c>
      <c r="B14" s="13" t="s">
        <v>49</v>
      </c>
      <c r="C14" s="38">
        <v>1</v>
      </c>
      <c r="D14" s="14">
        <v>12320</v>
      </c>
      <c r="E14" s="14">
        <f t="shared" si="0"/>
        <v>12320</v>
      </c>
      <c r="F14" s="34" t="s">
        <v>70</v>
      </c>
    </row>
    <row r="15" spans="1:14" ht="90" outlineLevel="2" x14ac:dyDescent="0.6">
      <c r="A15" s="12">
        <v>62</v>
      </c>
      <c r="B15" s="13" t="s">
        <v>142</v>
      </c>
      <c r="C15" s="38">
        <v>1</v>
      </c>
      <c r="D15" s="14">
        <v>1386</v>
      </c>
      <c r="E15" s="14">
        <f t="shared" si="0"/>
        <v>1386</v>
      </c>
      <c r="N15" s="21" t="s">
        <v>103</v>
      </c>
    </row>
    <row r="16" spans="1:14" ht="18" outlineLevel="2" x14ac:dyDescent="0.6">
      <c r="A16" s="12">
        <v>63</v>
      </c>
      <c r="B16" s="13" t="s">
        <v>51</v>
      </c>
      <c r="C16" s="38">
        <v>1</v>
      </c>
      <c r="D16" s="14">
        <v>2955</v>
      </c>
      <c r="E16" s="14">
        <f t="shared" si="0"/>
        <v>2955</v>
      </c>
    </row>
    <row r="17" spans="1:14" s="17" customFormat="1" ht="18" outlineLevel="2" x14ac:dyDescent="0.6">
      <c r="A17" s="12">
        <v>64</v>
      </c>
      <c r="B17" s="13" t="s">
        <v>43</v>
      </c>
      <c r="C17" s="38">
        <v>2</v>
      </c>
      <c r="D17" s="14">
        <v>190</v>
      </c>
      <c r="E17" s="14">
        <f t="shared" si="0"/>
        <v>380</v>
      </c>
      <c r="N17" s="21" t="s">
        <v>103</v>
      </c>
    </row>
    <row r="18" spans="1:14" s="17" customFormat="1" ht="18" outlineLevel="2" x14ac:dyDescent="0.6">
      <c r="A18" s="12">
        <v>65</v>
      </c>
      <c r="B18" s="13" t="s">
        <v>73</v>
      </c>
      <c r="C18" s="38">
        <v>1</v>
      </c>
      <c r="D18" s="14">
        <v>30700</v>
      </c>
      <c r="E18" s="14">
        <f t="shared" si="0"/>
        <v>30700</v>
      </c>
      <c r="F18" s="17" t="s">
        <v>74</v>
      </c>
      <c r="N18" s="21" t="s">
        <v>103</v>
      </c>
    </row>
    <row r="19" spans="1:14" s="17" customFormat="1" ht="18" outlineLevel="1" x14ac:dyDescent="0.45">
      <c r="A19" s="76" t="s">
        <v>117</v>
      </c>
      <c r="B19" s="76"/>
      <c r="C19" s="76"/>
      <c r="D19" s="76"/>
      <c r="E19" s="76"/>
    </row>
    <row r="20" spans="1:14" s="17" customFormat="1" ht="18" outlineLevel="2" x14ac:dyDescent="0.45">
      <c r="A20" s="12">
        <v>66</v>
      </c>
      <c r="B20" s="13" t="s">
        <v>45</v>
      </c>
      <c r="C20" s="37">
        <v>1</v>
      </c>
      <c r="D20" s="14">
        <v>137921</v>
      </c>
      <c r="E20" s="14">
        <f t="shared" ref="E20:E27" si="1">D20*C20</f>
        <v>137921</v>
      </c>
    </row>
    <row r="21" spans="1:14" ht="126" outlineLevel="2" x14ac:dyDescent="0.6">
      <c r="A21" s="12">
        <v>67</v>
      </c>
      <c r="B21" s="13" t="s">
        <v>42</v>
      </c>
      <c r="C21" s="37">
        <v>2</v>
      </c>
      <c r="D21" s="14">
        <v>799</v>
      </c>
      <c r="E21" s="14">
        <f t="shared" si="1"/>
        <v>1598</v>
      </c>
    </row>
    <row r="22" spans="1:14" ht="18" outlineLevel="2" x14ac:dyDescent="0.6">
      <c r="A22" s="12">
        <v>68</v>
      </c>
      <c r="B22" s="13" t="s">
        <v>78</v>
      </c>
      <c r="C22" s="38">
        <v>1</v>
      </c>
      <c r="D22" s="14">
        <f>I22</f>
        <v>760</v>
      </c>
      <c r="E22" s="14">
        <f t="shared" si="1"/>
        <v>760</v>
      </c>
      <c r="F22" s="17">
        <v>950</v>
      </c>
      <c r="G22" s="18">
        <v>0.2</v>
      </c>
      <c r="H22" s="17">
        <f>F22*G22</f>
        <v>190</v>
      </c>
      <c r="I22" s="17">
        <f>F22-H22</f>
        <v>760</v>
      </c>
    </row>
    <row r="23" spans="1:14" ht="18" outlineLevel="2" x14ac:dyDescent="0.6">
      <c r="A23" s="12">
        <v>69</v>
      </c>
      <c r="B23" s="13" t="s">
        <v>43</v>
      </c>
      <c r="C23" s="37">
        <v>1</v>
      </c>
      <c r="D23" s="14">
        <v>190</v>
      </c>
      <c r="E23" s="14">
        <f t="shared" si="1"/>
        <v>190</v>
      </c>
    </row>
    <row r="24" spans="1:14" ht="108" outlineLevel="2" x14ac:dyDescent="0.6">
      <c r="A24" s="12">
        <v>70</v>
      </c>
      <c r="B24" s="13" t="s">
        <v>54</v>
      </c>
      <c r="C24" s="38">
        <v>1</v>
      </c>
      <c r="D24" s="14">
        <v>1096</v>
      </c>
      <c r="E24" s="14">
        <f t="shared" si="1"/>
        <v>1096</v>
      </c>
    </row>
    <row r="25" spans="1:14" ht="72" outlineLevel="2" x14ac:dyDescent="0.6">
      <c r="A25" s="12">
        <v>71</v>
      </c>
      <c r="B25" s="13" t="s">
        <v>82</v>
      </c>
      <c r="C25" s="38">
        <v>1</v>
      </c>
      <c r="D25" s="14">
        <f>I25</f>
        <v>788</v>
      </c>
      <c r="E25" s="14">
        <f t="shared" si="1"/>
        <v>788</v>
      </c>
      <c r="F25" s="17">
        <v>985</v>
      </c>
      <c r="G25" s="18">
        <v>0.2</v>
      </c>
      <c r="H25" s="17">
        <f>F25*G25</f>
        <v>197</v>
      </c>
      <c r="I25" s="17">
        <f>F25-H25</f>
        <v>788</v>
      </c>
    </row>
    <row r="26" spans="1:14" ht="72" outlineLevel="2" x14ac:dyDescent="0.6">
      <c r="A26" s="12">
        <v>72</v>
      </c>
      <c r="B26" s="13" t="s">
        <v>53</v>
      </c>
      <c r="C26" s="38">
        <v>2</v>
      </c>
      <c r="D26" s="14">
        <v>479</v>
      </c>
      <c r="E26" s="14">
        <f t="shared" si="1"/>
        <v>958</v>
      </c>
    </row>
    <row r="27" spans="1:14" ht="36" outlineLevel="2" x14ac:dyDescent="0.6">
      <c r="A27" s="12">
        <v>73</v>
      </c>
      <c r="B27" s="13" t="s">
        <v>97</v>
      </c>
      <c r="C27" s="38">
        <v>1</v>
      </c>
      <c r="D27" s="14">
        <f>L27</f>
        <v>47.543936170212767</v>
      </c>
      <c r="E27" s="14">
        <f t="shared" si="1"/>
        <v>47.543936170212767</v>
      </c>
      <c r="F27" s="30" t="s">
        <v>66</v>
      </c>
      <c r="G27" s="19" t="s">
        <v>67</v>
      </c>
      <c r="H27" s="20">
        <f>19431</f>
        <v>19431</v>
      </c>
      <c r="I27" s="18">
        <v>0.15</v>
      </c>
      <c r="J27" s="17">
        <f>H27*I27</f>
        <v>2914.65</v>
      </c>
      <c r="K27" s="17">
        <f>H27+J27</f>
        <v>22345.65</v>
      </c>
      <c r="L27" s="17">
        <f>K27/470</f>
        <v>47.543936170212767</v>
      </c>
    </row>
    <row r="28" spans="1:14" s="17" customFormat="1" ht="18" outlineLevel="1" x14ac:dyDescent="0.45">
      <c r="A28" s="76" t="s">
        <v>118</v>
      </c>
      <c r="B28" s="76"/>
      <c r="C28" s="76"/>
      <c r="D28" s="76"/>
      <c r="E28" s="76"/>
    </row>
    <row r="29" spans="1:14" s="17" customFormat="1" ht="72" outlineLevel="2" x14ac:dyDescent="0.45">
      <c r="A29" s="12">
        <v>74</v>
      </c>
      <c r="B29" s="13" t="s">
        <v>55</v>
      </c>
      <c r="C29" s="38">
        <v>2</v>
      </c>
      <c r="D29" s="14">
        <v>779</v>
      </c>
      <c r="E29" s="14">
        <f t="shared" ref="E29:E35" si="2">D29*C29</f>
        <v>1558</v>
      </c>
      <c r="N29" s="17" t="s">
        <v>104</v>
      </c>
    </row>
    <row r="30" spans="1:14" s="17" customFormat="1" ht="18" outlineLevel="2" x14ac:dyDescent="0.45">
      <c r="A30" s="12">
        <v>75</v>
      </c>
      <c r="B30" s="13" t="s">
        <v>78</v>
      </c>
      <c r="C30" s="38">
        <v>3</v>
      </c>
      <c r="D30" s="14">
        <f>I30</f>
        <v>760</v>
      </c>
      <c r="E30" s="14">
        <f t="shared" si="2"/>
        <v>2280</v>
      </c>
      <c r="F30" s="17">
        <v>950</v>
      </c>
      <c r="G30" s="18">
        <v>0.2</v>
      </c>
      <c r="H30" s="17">
        <f>F30*G30</f>
        <v>190</v>
      </c>
      <c r="I30" s="17">
        <f>F30-H30</f>
        <v>760</v>
      </c>
    </row>
    <row r="31" spans="1:14" s="17" customFormat="1" ht="126" outlineLevel="2" x14ac:dyDescent="0.45">
      <c r="A31" s="12">
        <v>76</v>
      </c>
      <c r="B31" s="13" t="s">
        <v>42</v>
      </c>
      <c r="C31" s="38">
        <v>1</v>
      </c>
      <c r="D31" s="14">
        <v>799</v>
      </c>
      <c r="E31" s="14">
        <f t="shared" si="2"/>
        <v>799</v>
      </c>
    </row>
    <row r="32" spans="1:14" s="17" customFormat="1" ht="36" outlineLevel="2" x14ac:dyDescent="0.45">
      <c r="A32" s="12">
        <v>77</v>
      </c>
      <c r="B32" s="13" t="s">
        <v>97</v>
      </c>
      <c r="C32" s="38">
        <v>2</v>
      </c>
      <c r="D32" s="14">
        <f>L32</f>
        <v>47.543936170212767</v>
      </c>
      <c r="E32" s="14">
        <f t="shared" si="2"/>
        <v>95.087872340425534</v>
      </c>
      <c r="F32" s="33" t="s">
        <v>66</v>
      </c>
      <c r="G32" s="25" t="s">
        <v>67</v>
      </c>
      <c r="H32" s="1">
        <f>19431</f>
        <v>19431</v>
      </c>
      <c r="I32" s="5">
        <v>0.15</v>
      </c>
      <c r="J32" s="1">
        <f>H32*I32</f>
        <v>2914.65</v>
      </c>
      <c r="K32" s="1">
        <f>H32+J32</f>
        <v>22345.65</v>
      </c>
      <c r="L32" s="1">
        <f>K32/470</f>
        <v>47.543936170212767</v>
      </c>
    </row>
    <row r="33" spans="1:14" s="17" customFormat="1" ht="54" outlineLevel="2" x14ac:dyDescent="0.45">
      <c r="A33" s="12">
        <v>78</v>
      </c>
      <c r="B33" s="13" t="s">
        <v>12</v>
      </c>
      <c r="C33" s="38">
        <v>2</v>
      </c>
      <c r="D33" s="14">
        <v>21100</v>
      </c>
      <c r="E33" s="14">
        <f t="shared" si="2"/>
        <v>42200</v>
      </c>
      <c r="F33" s="28" t="s">
        <v>90</v>
      </c>
      <c r="G33" s="4"/>
      <c r="N33" s="17" t="s">
        <v>104</v>
      </c>
    </row>
    <row r="34" spans="1:14" s="17" customFormat="1" ht="18" outlineLevel="2" x14ac:dyDescent="0.45">
      <c r="A34" s="12">
        <v>79</v>
      </c>
      <c r="B34" s="13" t="s">
        <v>43</v>
      </c>
      <c r="C34" s="38">
        <v>2</v>
      </c>
      <c r="D34" s="14">
        <v>190</v>
      </c>
      <c r="E34" s="14">
        <f t="shared" si="2"/>
        <v>380</v>
      </c>
    </row>
    <row r="35" spans="1:14" s="17" customFormat="1" ht="72" outlineLevel="2" x14ac:dyDescent="0.45">
      <c r="A35" s="12">
        <v>80</v>
      </c>
      <c r="B35" s="13" t="s">
        <v>82</v>
      </c>
      <c r="C35" s="38">
        <v>2</v>
      </c>
      <c r="D35" s="14">
        <f>I35</f>
        <v>788</v>
      </c>
      <c r="E35" s="14">
        <f t="shared" si="2"/>
        <v>1576</v>
      </c>
      <c r="F35" s="17">
        <v>985</v>
      </c>
      <c r="G35" s="18">
        <v>0.2</v>
      </c>
      <c r="H35" s="17">
        <f>F35*G35</f>
        <v>197</v>
      </c>
      <c r="I35" s="17">
        <f>F35-H35</f>
        <v>788</v>
      </c>
    </row>
    <row r="36" spans="1:14" s="17" customFormat="1" ht="18" outlineLevel="1" x14ac:dyDescent="0.45">
      <c r="A36" s="76" t="s">
        <v>119</v>
      </c>
      <c r="B36" s="76"/>
      <c r="C36" s="76"/>
      <c r="D36" s="76"/>
      <c r="E36" s="76"/>
    </row>
    <row r="37" spans="1:14" s="17" customFormat="1" ht="126" outlineLevel="2" x14ac:dyDescent="0.45">
      <c r="A37" s="12">
        <v>81</v>
      </c>
      <c r="B37" s="13" t="s">
        <v>42</v>
      </c>
      <c r="C37" s="38">
        <v>2</v>
      </c>
      <c r="D37" s="14">
        <v>799</v>
      </c>
      <c r="E37" s="14">
        <f t="shared" ref="E37:E43" si="3">D37*C37</f>
        <v>1598</v>
      </c>
    </row>
    <row r="38" spans="1:14" s="17" customFormat="1" ht="18" outlineLevel="2" x14ac:dyDescent="0.45">
      <c r="A38" s="12">
        <v>82</v>
      </c>
      <c r="B38" s="13" t="s">
        <v>78</v>
      </c>
      <c r="C38" s="38">
        <v>2</v>
      </c>
      <c r="D38" s="14">
        <f>I38</f>
        <v>760</v>
      </c>
      <c r="E38" s="14">
        <f t="shared" si="3"/>
        <v>1520</v>
      </c>
      <c r="F38" s="17">
        <v>950</v>
      </c>
      <c r="G38" s="18">
        <v>0.2</v>
      </c>
      <c r="H38" s="17">
        <f>F38*G38</f>
        <v>190</v>
      </c>
      <c r="I38" s="17">
        <f>F38-H38</f>
        <v>760</v>
      </c>
    </row>
    <row r="39" spans="1:14" s="17" customFormat="1" ht="36" outlineLevel="2" x14ac:dyDescent="0.45">
      <c r="A39" s="12">
        <v>83</v>
      </c>
      <c r="B39" s="13" t="s">
        <v>97</v>
      </c>
      <c r="C39" s="38">
        <v>2</v>
      </c>
      <c r="D39" s="14">
        <f>L39</f>
        <v>47.543936170212767</v>
      </c>
      <c r="E39" s="14">
        <f t="shared" si="3"/>
        <v>95.087872340425534</v>
      </c>
      <c r="F39" s="30" t="s">
        <v>66</v>
      </c>
      <c r="G39" s="19" t="s">
        <v>67</v>
      </c>
      <c r="H39" s="20">
        <f>19431</f>
        <v>19431</v>
      </c>
      <c r="I39" s="18">
        <v>0.15</v>
      </c>
      <c r="J39" s="17">
        <f>H39*I39</f>
        <v>2914.65</v>
      </c>
      <c r="K39" s="17">
        <f>H39+J39</f>
        <v>22345.65</v>
      </c>
      <c r="L39" s="17">
        <f>K39/470</f>
        <v>47.543936170212767</v>
      </c>
    </row>
    <row r="40" spans="1:14" s="17" customFormat="1" ht="18" outlineLevel="2" x14ac:dyDescent="0.45">
      <c r="A40" s="12">
        <v>84</v>
      </c>
      <c r="B40" s="13" t="s">
        <v>19</v>
      </c>
      <c r="C40" s="38">
        <v>1</v>
      </c>
      <c r="D40" s="14">
        <v>54629</v>
      </c>
      <c r="E40" s="14">
        <f t="shared" si="3"/>
        <v>54629</v>
      </c>
    </row>
    <row r="41" spans="1:14" s="17" customFormat="1" ht="108" outlineLevel="2" x14ac:dyDescent="0.45">
      <c r="A41" s="12">
        <v>85</v>
      </c>
      <c r="B41" s="13" t="s">
        <v>54</v>
      </c>
      <c r="C41" s="38">
        <v>1</v>
      </c>
      <c r="D41" s="14">
        <v>1349</v>
      </c>
      <c r="E41" s="14">
        <f t="shared" si="3"/>
        <v>1349</v>
      </c>
    </row>
    <row r="42" spans="1:14" s="17" customFormat="1" ht="72" outlineLevel="2" x14ac:dyDescent="0.45">
      <c r="A42" s="12">
        <v>86</v>
      </c>
      <c r="B42" s="13" t="s">
        <v>53</v>
      </c>
      <c r="C42" s="38">
        <v>2</v>
      </c>
      <c r="D42" s="14">
        <v>479</v>
      </c>
      <c r="E42" s="14">
        <f t="shared" si="3"/>
        <v>958</v>
      </c>
    </row>
    <row r="43" spans="1:14" s="17" customFormat="1" ht="72" outlineLevel="2" x14ac:dyDescent="0.45">
      <c r="A43" s="12">
        <v>87</v>
      </c>
      <c r="B43" s="13" t="s">
        <v>82</v>
      </c>
      <c r="C43" s="38">
        <v>1</v>
      </c>
      <c r="D43" s="14">
        <f>I43</f>
        <v>788</v>
      </c>
      <c r="E43" s="14">
        <f t="shared" si="3"/>
        <v>788</v>
      </c>
      <c r="F43" s="17">
        <v>985</v>
      </c>
      <c r="G43" s="18">
        <v>0.2</v>
      </c>
      <c r="H43" s="17">
        <f>F43*G43</f>
        <v>197</v>
      </c>
      <c r="I43" s="17">
        <f>F43-H43</f>
        <v>788</v>
      </c>
    </row>
    <row r="44" spans="1:14" s="17" customFormat="1" ht="18" customHeight="1" outlineLevel="2" x14ac:dyDescent="0.45">
      <c r="A44" s="76" t="s">
        <v>120</v>
      </c>
      <c r="B44" s="76"/>
      <c r="C44" s="76"/>
      <c r="D44" s="76"/>
      <c r="E44" s="76"/>
      <c r="G44" s="18"/>
      <c r="N44" s="17" t="s">
        <v>107</v>
      </c>
    </row>
    <row r="45" spans="1:14" s="17" customFormat="1" ht="108" outlineLevel="2" x14ac:dyDescent="0.45">
      <c r="A45" s="12">
        <v>88</v>
      </c>
      <c r="B45" s="13" t="s">
        <v>77</v>
      </c>
      <c r="C45" s="12">
        <v>1</v>
      </c>
      <c r="D45" s="14">
        <v>1149.4000000000001</v>
      </c>
      <c r="E45" s="14">
        <f>D45*C45</f>
        <v>1149.4000000000001</v>
      </c>
      <c r="G45" s="18"/>
    </row>
    <row r="46" spans="1:14" s="17" customFormat="1" ht="18" outlineLevel="2" x14ac:dyDescent="0.45">
      <c r="A46" s="12">
        <v>89</v>
      </c>
      <c r="B46" s="13" t="s">
        <v>11</v>
      </c>
      <c r="C46" s="38">
        <v>1</v>
      </c>
      <c r="D46" s="14">
        <v>217</v>
      </c>
      <c r="E46" s="14">
        <f t="shared" ref="E46" si="4">D46*C46</f>
        <v>217</v>
      </c>
      <c r="G46" s="18"/>
    </row>
    <row r="47" spans="1:14" s="17" customFormat="1" ht="18" outlineLevel="2" x14ac:dyDescent="0.45">
      <c r="A47" s="12">
        <v>90</v>
      </c>
      <c r="B47" s="13" t="s">
        <v>78</v>
      </c>
      <c r="C47" s="12">
        <v>2</v>
      </c>
      <c r="D47" s="14">
        <v>760</v>
      </c>
      <c r="E47" s="14">
        <f>D47*C47</f>
        <v>1520</v>
      </c>
      <c r="G47" s="18"/>
    </row>
    <row r="48" spans="1:14" s="17" customFormat="1" ht="126" outlineLevel="2" x14ac:dyDescent="0.45">
      <c r="A48" s="12">
        <v>91</v>
      </c>
      <c r="B48" s="13" t="s">
        <v>42</v>
      </c>
      <c r="C48" s="12">
        <v>2</v>
      </c>
      <c r="D48" s="14">
        <v>799</v>
      </c>
      <c r="E48" s="14">
        <f>D48*C48</f>
        <v>1598</v>
      </c>
      <c r="G48" s="18"/>
    </row>
  </sheetData>
  <mergeCells count="5">
    <mergeCell ref="A44:E44"/>
    <mergeCell ref="A2:E2"/>
    <mergeCell ref="A19:E19"/>
    <mergeCell ref="A28:E28"/>
    <mergeCell ref="A36:E36"/>
  </mergeCells>
  <hyperlinks>
    <hyperlink ref="G32" r:id="rId1" xr:uid="{8C58A05C-E460-472F-ABBD-28F1EF8A9DD5}"/>
    <hyperlink ref="G27" r:id="rId2" xr:uid="{FB465E5B-D49F-4D8B-A979-063DCB5B5BE6}"/>
    <hyperlink ref="G39" r:id="rId3" xr:uid="{A9BCB6A0-1D28-45A6-98F8-56E7F95239D7}"/>
    <hyperlink ref="G10" r:id="rId4" xr:uid="{CBFD6A72-AFD6-41B0-ACC5-F3BD25AA9FA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C8950-7067-4117-B889-3BCD7330ED29}">
  <dimension ref="A1:Q157"/>
  <sheetViews>
    <sheetView workbookViewId="0">
      <selection activeCell="B6" sqref="B6"/>
    </sheetView>
  </sheetViews>
  <sheetFormatPr defaultColWidth="8.86328125" defaultRowHeight="16.5" outlineLevelRow="2" x14ac:dyDescent="0.6"/>
  <cols>
    <col min="1" max="1" width="8.86328125" style="6"/>
    <col min="2" max="2" width="110.53125" style="6" customWidth="1"/>
    <col min="3" max="3" width="19.53125" style="41" bestFit="1" customWidth="1"/>
    <col min="4" max="4" width="17.53125" style="23" customWidth="1"/>
    <col min="5" max="5" width="24.19921875" style="24" bestFit="1" customWidth="1"/>
    <col min="6" max="6" width="49.46484375" style="21" hidden="1" customWidth="1"/>
    <col min="7" max="12" width="8.86328125" style="21" hidden="1" customWidth="1"/>
    <col min="13" max="13" width="17.9296875" style="21" bestFit="1" customWidth="1"/>
    <col min="14" max="14" width="12.1328125" style="21" bestFit="1" customWidth="1"/>
    <col min="15" max="16384" width="8.86328125" style="21"/>
  </cols>
  <sheetData>
    <row r="1" spans="1:14" s="17" customFormat="1" ht="42" x14ac:dyDescent="0.45">
      <c r="A1" s="15" t="s">
        <v>0</v>
      </c>
      <c r="B1" s="15" t="s">
        <v>83</v>
      </c>
      <c r="C1" s="36" t="s">
        <v>84</v>
      </c>
      <c r="D1" s="16" t="s">
        <v>85</v>
      </c>
      <c r="E1" s="16" t="s">
        <v>86</v>
      </c>
    </row>
    <row r="2" spans="1:14" s="17" customFormat="1" ht="18" outlineLevel="1" x14ac:dyDescent="0.45">
      <c r="A2" s="76" t="s">
        <v>111</v>
      </c>
      <c r="B2" s="76"/>
      <c r="C2" s="76"/>
      <c r="D2" s="76"/>
      <c r="E2" s="76"/>
    </row>
    <row r="3" spans="1:14" s="17" customFormat="1" ht="18" outlineLevel="2" x14ac:dyDescent="0.45">
      <c r="A3" s="7">
        <v>1</v>
      </c>
      <c r="B3" s="10" t="s">
        <v>21</v>
      </c>
      <c r="C3" s="7">
        <v>5</v>
      </c>
      <c r="D3" s="9" t="s">
        <v>20</v>
      </c>
      <c r="E3" s="9">
        <f>D3*C3</f>
        <v>2295</v>
      </c>
    </row>
    <row r="4" spans="1:14" s="17" customFormat="1" ht="18" outlineLevel="1" x14ac:dyDescent="0.45">
      <c r="A4" s="76" t="s">
        <v>110</v>
      </c>
      <c r="B4" s="76"/>
      <c r="C4" s="76"/>
      <c r="D4" s="76"/>
      <c r="E4" s="76"/>
    </row>
    <row r="5" spans="1:14" s="17" customFormat="1" ht="18" outlineLevel="2" x14ac:dyDescent="0.45">
      <c r="A5" s="12">
        <v>2</v>
      </c>
      <c r="B5" s="11" t="s">
        <v>21</v>
      </c>
      <c r="C5" s="37">
        <v>3</v>
      </c>
      <c r="D5" s="14">
        <v>459</v>
      </c>
      <c r="E5" s="14">
        <f>D5*C5</f>
        <v>1377</v>
      </c>
    </row>
    <row r="6" spans="1:14" s="17" customFormat="1" ht="90" outlineLevel="2" x14ac:dyDescent="0.45">
      <c r="A6" s="12">
        <v>3</v>
      </c>
      <c r="B6" s="11" t="s">
        <v>76</v>
      </c>
      <c r="C6" s="37">
        <v>1</v>
      </c>
      <c r="D6" s="14">
        <f>I6</f>
        <v>821.6</v>
      </c>
      <c r="E6" s="14">
        <f t="shared" ref="E6:E64" si="0">D6*C6</f>
        <v>821.6</v>
      </c>
      <c r="F6" s="17">
        <v>1027</v>
      </c>
      <c r="G6" s="18">
        <v>0.2</v>
      </c>
      <c r="H6" s="17">
        <f>F6*G6</f>
        <v>205.4</v>
      </c>
      <c r="I6" s="17">
        <f>F6-H6</f>
        <v>821.6</v>
      </c>
    </row>
    <row r="7" spans="1:14" s="17" customFormat="1" ht="90" outlineLevel="2" x14ac:dyDescent="0.45">
      <c r="A7" s="12">
        <v>4</v>
      </c>
      <c r="B7" s="11" t="s">
        <v>22</v>
      </c>
      <c r="C7" s="37">
        <v>1</v>
      </c>
      <c r="D7" s="14">
        <f>L7</f>
        <v>418.40425531914894</v>
      </c>
      <c r="E7" s="14">
        <f t="shared" si="0"/>
        <v>418.40425531914894</v>
      </c>
      <c r="F7" s="28" t="s">
        <v>87</v>
      </c>
      <c r="G7" s="19" t="s">
        <v>67</v>
      </c>
      <c r="H7" s="20">
        <f>171000</f>
        <v>171000</v>
      </c>
      <c r="I7" s="18">
        <v>0.15</v>
      </c>
      <c r="J7" s="17">
        <f>H7*I7</f>
        <v>25650</v>
      </c>
      <c r="K7" s="17">
        <f>H7+J7</f>
        <v>196650</v>
      </c>
      <c r="L7" s="17">
        <f>K7/470</f>
        <v>418.40425531914894</v>
      </c>
    </row>
    <row r="8" spans="1:14" s="17" customFormat="1" ht="18" outlineLevel="2" x14ac:dyDescent="0.45">
      <c r="A8" s="12">
        <v>5</v>
      </c>
      <c r="B8" s="11" t="s">
        <v>108</v>
      </c>
      <c r="C8" s="12">
        <v>2</v>
      </c>
      <c r="D8" s="14">
        <v>30700</v>
      </c>
      <c r="E8" s="14">
        <f t="shared" si="0"/>
        <v>61400</v>
      </c>
      <c r="N8" s="35"/>
    </row>
    <row r="9" spans="1:14" s="17" customFormat="1" ht="72" outlineLevel="2" x14ac:dyDescent="0.45">
      <c r="A9" s="12">
        <v>6</v>
      </c>
      <c r="B9" s="11" t="s">
        <v>23</v>
      </c>
      <c r="C9" s="37">
        <v>1</v>
      </c>
      <c r="D9" s="14">
        <v>6392</v>
      </c>
      <c r="E9" s="14">
        <f t="shared" si="0"/>
        <v>6392</v>
      </c>
    </row>
    <row r="10" spans="1:14" s="17" customFormat="1" ht="18" outlineLevel="2" x14ac:dyDescent="0.45">
      <c r="A10" s="12">
        <v>7</v>
      </c>
      <c r="B10" s="11" t="s">
        <v>24</v>
      </c>
      <c r="C10" s="12">
        <v>1</v>
      </c>
      <c r="D10" s="14" t="s">
        <v>25</v>
      </c>
      <c r="E10" s="14">
        <f t="shared" si="0"/>
        <v>1950</v>
      </c>
    </row>
    <row r="11" spans="1:14" s="17" customFormat="1" ht="108" outlineLevel="2" x14ac:dyDescent="0.45">
      <c r="A11" s="12">
        <v>8</v>
      </c>
      <c r="B11" s="13" t="s">
        <v>109</v>
      </c>
      <c r="C11" s="12">
        <v>1</v>
      </c>
      <c r="D11" s="14" t="s">
        <v>27</v>
      </c>
      <c r="E11" s="14">
        <f t="shared" si="0"/>
        <v>1642</v>
      </c>
      <c r="F11" s="29" t="s">
        <v>27</v>
      </c>
      <c r="G11" s="18">
        <v>0.3</v>
      </c>
      <c r="H11" s="17">
        <f>F11*G11</f>
        <v>492.59999999999997</v>
      </c>
      <c r="I11" s="17">
        <f>F11-H11</f>
        <v>1149.4000000000001</v>
      </c>
    </row>
    <row r="12" spans="1:14" s="17" customFormat="1" ht="18" outlineLevel="2" x14ac:dyDescent="0.45">
      <c r="A12" s="12">
        <v>9</v>
      </c>
      <c r="B12" s="13" t="s">
        <v>78</v>
      </c>
      <c r="C12" s="38">
        <v>3</v>
      </c>
      <c r="D12" s="14">
        <f>I12</f>
        <v>760</v>
      </c>
      <c r="E12" s="14">
        <f t="shared" si="0"/>
        <v>2280</v>
      </c>
      <c r="F12" s="17">
        <v>950</v>
      </c>
      <c r="G12" s="18">
        <v>0.2</v>
      </c>
      <c r="H12" s="17">
        <f>F12*G12</f>
        <v>190</v>
      </c>
      <c r="I12" s="17">
        <f>F12-H12</f>
        <v>760</v>
      </c>
    </row>
    <row r="13" spans="1:14" s="17" customFormat="1" ht="18" outlineLevel="2" x14ac:dyDescent="0.45">
      <c r="A13" s="12">
        <v>10</v>
      </c>
      <c r="B13" s="11" t="s">
        <v>11</v>
      </c>
      <c r="C13" s="12">
        <v>1</v>
      </c>
      <c r="D13" s="14" t="s">
        <v>26</v>
      </c>
      <c r="E13" s="14">
        <f t="shared" si="0"/>
        <v>217</v>
      </c>
    </row>
    <row r="14" spans="1:14" s="17" customFormat="1" ht="36" outlineLevel="2" x14ac:dyDescent="0.45">
      <c r="A14" s="12">
        <v>11</v>
      </c>
      <c r="B14" s="11" t="s">
        <v>97</v>
      </c>
      <c r="C14" s="12">
        <v>1</v>
      </c>
      <c r="D14" s="14">
        <f>L14</f>
        <v>47.543936170212767</v>
      </c>
      <c r="E14" s="14">
        <f t="shared" si="0"/>
        <v>47.543936170212767</v>
      </c>
      <c r="F14" s="30" t="s">
        <v>66</v>
      </c>
      <c r="G14" s="19" t="s">
        <v>67</v>
      </c>
      <c r="H14" s="20">
        <f>19431</f>
        <v>19431</v>
      </c>
      <c r="I14" s="18">
        <v>0.15</v>
      </c>
      <c r="J14" s="17">
        <f>H14*I14</f>
        <v>2914.65</v>
      </c>
      <c r="K14" s="17">
        <f>H14+J14</f>
        <v>22345.65</v>
      </c>
      <c r="L14" s="17">
        <f>K14/470</f>
        <v>47.543936170212767</v>
      </c>
    </row>
    <row r="15" spans="1:14" s="17" customFormat="1" ht="18" customHeight="1" outlineLevel="1" x14ac:dyDescent="0.45">
      <c r="A15" s="76" t="s">
        <v>112</v>
      </c>
      <c r="B15" s="76"/>
      <c r="C15" s="76"/>
      <c r="D15" s="76"/>
      <c r="E15" s="76"/>
    </row>
    <row r="16" spans="1:14" s="17" customFormat="1" ht="90" outlineLevel="2" x14ac:dyDescent="0.45">
      <c r="A16" s="6">
        <v>12</v>
      </c>
      <c r="B16" s="11" t="s">
        <v>30</v>
      </c>
      <c r="C16" s="37">
        <v>1</v>
      </c>
      <c r="D16" s="14">
        <v>43839</v>
      </c>
      <c r="E16" s="14">
        <f t="shared" si="0"/>
        <v>43839</v>
      </c>
    </row>
    <row r="17" spans="1:17" s="17" customFormat="1" ht="18" outlineLevel="2" x14ac:dyDescent="0.45">
      <c r="A17" s="12">
        <v>13</v>
      </c>
      <c r="B17" s="11" t="s">
        <v>31</v>
      </c>
      <c r="C17" s="37">
        <v>1</v>
      </c>
      <c r="D17" s="14">
        <v>49300</v>
      </c>
      <c r="E17" s="14">
        <f t="shared" si="0"/>
        <v>49300</v>
      </c>
    </row>
    <row r="18" spans="1:17" s="17" customFormat="1" ht="72" outlineLevel="2" x14ac:dyDescent="0.45">
      <c r="A18" s="12">
        <v>14</v>
      </c>
      <c r="B18" s="11" t="s">
        <v>32</v>
      </c>
      <c r="C18" s="37">
        <v>2</v>
      </c>
      <c r="D18" s="14">
        <v>14800</v>
      </c>
      <c r="E18" s="14">
        <f t="shared" si="0"/>
        <v>29600</v>
      </c>
    </row>
    <row r="19" spans="1:17" s="17" customFormat="1" ht="36" outlineLevel="2" x14ac:dyDescent="0.45">
      <c r="A19" s="12">
        <v>15</v>
      </c>
      <c r="B19" s="11" t="s">
        <v>36</v>
      </c>
      <c r="C19" s="37">
        <v>2</v>
      </c>
      <c r="D19" s="14">
        <v>1722</v>
      </c>
      <c r="E19" s="14">
        <f t="shared" si="0"/>
        <v>3444</v>
      </c>
    </row>
    <row r="20" spans="1:17" s="17" customFormat="1" ht="72" outlineLevel="2" x14ac:dyDescent="0.45">
      <c r="A20" s="12">
        <v>16</v>
      </c>
      <c r="B20" s="11" t="s">
        <v>23</v>
      </c>
      <c r="C20" s="37">
        <v>1</v>
      </c>
      <c r="D20" s="14">
        <v>6392</v>
      </c>
      <c r="E20" s="14">
        <f>D20*C20</f>
        <v>6392</v>
      </c>
    </row>
    <row r="21" spans="1:17" s="17" customFormat="1" ht="54" outlineLevel="2" x14ac:dyDescent="0.45">
      <c r="A21" s="12">
        <v>17</v>
      </c>
      <c r="B21" s="11" t="s">
        <v>33</v>
      </c>
      <c r="C21" s="37">
        <v>2</v>
      </c>
      <c r="D21" s="14">
        <v>1388</v>
      </c>
      <c r="E21" s="14">
        <f t="shared" si="0"/>
        <v>2776</v>
      </c>
    </row>
    <row r="22" spans="1:17" s="17" customFormat="1" ht="18" outlineLevel="2" x14ac:dyDescent="0.45">
      <c r="A22" s="12">
        <v>18</v>
      </c>
      <c r="B22" s="13" t="s">
        <v>78</v>
      </c>
      <c r="C22" s="38">
        <v>2</v>
      </c>
      <c r="D22" s="14">
        <f>I22</f>
        <v>760</v>
      </c>
      <c r="E22" s="14">
        <f t="shared" si="0"/>
        <v>1520</v>
      </c>
      <c r="F22" s="17">
        <v>950</v>
      </c>
      <c r="G22" s="18">
        <v>0.2</v>
      </c>
      <c r="H22" s="17">
        <f>F22*G22</f>
        <v>190</v>
      </c>
      <c r="I22" s="17">
        <f>F22-H22</f>
        <v>760</v>
      </c>
      <c r="N22" s="17" t="s">
        <v>104</v>
      </c>
    </row>
    <row r="23" spans="1:17" s="17" customFormat="1" ht="72" outlineLevel="2" x14ac:dyDescent="0.45">
      <c r="A23" s="12">
        <v>19</v>
      </c>
      <c r="B23" s="11" t="s">
        <v>34</v>
      </c>
      <c r="C23" s="12">
        <v>2</v>
      </c>
      <c r="D23" s="14" t="s">
        <v>35</v>
      </c>
      <c r="E23" s="14">
        <f t="shared" si="0"/>
        <v>2766</v>
      </c>
    </row>
    <row r="24" spans="1:17" s="17" customFormat="1" ht="54" outlineLevel="2" x14ac:dyDescent="0.45">
      <c r="A24" s="12">
        <v>20</v>
      </c>
      <c r="B24" s="11" t="s">
        <v>75</v>
      </c>
      <c r="C24" s="12">
        <v>1</v>
      </c>
      <c r="D24" s="14">
        <v>5200</v>
      </c>
      <c r="E24" s="14">
        <f t="shared" si="0"/>
        <v>5200</v>
      </c>
      <c r="F24" s="28" t="s">
        <v>88</v>
      </c>
      <c r="G24" s="17" t="s">
        <v>71</v>
      </c>
    </row>
    <row r="25" spans="1:17" s="17" customFormat="1" ht="72" outlineLevel="2" x14ac:dyDescent="0.45">
      <c r="A25" s="12">
        <v>21</v>
      </c>
      <c r="B25" s="11" t="s">
        <v>28</v>
      </c>
      <c r="C25" s="12">
        <v>1</v>
      </c>
      <c r="D25" s="14">
        <v>779</v>
      </c>
      <c r="E25" s="14">
        <f t="shared" si="0"/>
        <v>779</v>
      </c>
    </row>
    <row r="26" spans="1:17" s="17" customFormat="1" ht="90" outlineLevel="2" x14ac:dyDescent="0.45">
      <c r="A26" s="12">
        <v>22</v>
      </c>
      <c r="B26" s="11" t="s">
        <v>29</v>
      </c>
      <c r="C26" s="37">
        <v>2</v>
      </c>
      <c r="D26" s="14">
        <v>23129</v>
      </c>
      <c r="E26" s="14">
        <f t="shared" si="0"/>
        <v>46258</v>
      </c>
    </row>
    <row r="27" spans="1:17" s="17" customFormat="1" ht="18" customHeight="1" outlineLevel="1" x14ac:dyDescent="0.45">
      <c r="A27" s="76" t="s">
        <v>113</v>
      </c>
      <c r="B27" s="76"/>
      <c r="C27" s="76"/>
      <c r="D27" s="76"/>
      <c r="E27" s="76"/>
    </row>
    <row r="28" spans="1:17" s="17" customFormat="1" ht="90" outlineLevel="2" x14ac:dyDescent="0.45">
      <c r="A28" s="12">
        <v>23</v>
      </c>
      <c r="B28" s="11" t="s">
        <v>140</v>
      </c>
      <c r="C28" s="38">
        <v>2</v>
      </c>
      <c r="D28" s="14">
        <f>28500</f>
        <v>28500</v>
      </c>
      <c r="E28" s="14">
        <f>D28*C28</f>
        <v>57000</v>
      </c>
      <c r="F28" s="17" t="s">
        <v>72</v>
      </c>
      <c r="N28" s="35" t="s">
        <v>102</v>
      </c>
      <c r="Q28" s="17" t="s">
        <v>104</v>
      </c>
    </row>
    <row r="29" spans="1:17" s="17" customFormat="1" ht="18" outlineLevel="2" x14ac:dyDescent="0.45">
      <c r="A29" s="12">
        <v>24</v>
      </c>
      <c r="B29" s="11" t="s">
        <v>63</v>
      </c>
      <c r="C29" s="38">
        <v>2</v>
      </c>
      <c r="D29" s="14">
        <v>6200</v>
      </c>
      <c r="E29" s="14">
        <f t="shared" ref="E29:E30" si="1">D29*C29</f>
        <v>12400</v>
      </c>
      <c r="N29" s="17" t="s">
        <v>104</v>
      </c>
    </row>
    <row r="30" spans="1:17" s="17" customFormat="1" ht="72" outlineLevel="2" x14ac:dyDescent="0.45">
      <c r="A30" s="12">
        <v>25</v>
      </c>
      <c r="B30" s="11" t="s">
        <v>37</v>
      </c>
      <c r="C30" s="38">
        <v>2</v>
      </c>
      <c r="D30" s="14">
        <v>22200</v>
      </c>
      <c r="E30" s="14">
        <f t="shared" si="1"/>
        <v>44400</v>
      </c>
      <c r="F30" s="17" t="s">
        <v>72</v>
      </c>
      <c r="N30" s="17" t="s">
        <v>104</v>
      </c>
    </row>
    <row r="31" spans="1:17" s="17" customFormat="1" ht="18" outlineLevel="2" x14ac:dyDescent="0.45">
      <c r="A31" s="12">
        <v>26</v>
      </c>
      <c r="B31" s="11" t="s">
        <v>64</v>
      </c>
      <c r="C31" s="38">
        <v>2</v>
      </c>
      <c r="D31" s="14">
        <v>4750</v>
      </c>
      <c r="E31" s="14">
        <f t="shared" si="0"/>
        <v>9500</v>
      </c>
      <c r="N31" s="17" t="s">
        <v>104</v>
      </c>
    </row>
    <row r="32" spans="1:17" s="17" customFormat="1" ht="72" outlineLevel="2" x14ac:dyDescent="0.45">
      <c r="A32" s="12">
        <v>27</v>
      </c>
      <c r="B32" s="11" t="s">
        <v>2</v>
      </c>
      <c r="C32" s="38">
        <v>2</v>
      </c>
      <c r="D32" s="14">
        <f>D19</f>
        <v>1722</v>
      </c>
      <c r="E32" s="14">
        <f t="shared" si="0"/>
        <v>3444</v>
      </c>
      <c r="F32" s="31" t="s">
        <v>68</v>
      </c>
      <c r="G32" s="17" t="s">
        <v>71</v>
      </c>
      <c r="N32" s="17" t="s">
        <v>104</v>
      </c>
    </row>
    <row r="33" spans="1:14" s="17" customFormat="1" ht="126" outlineLevel="2" x14ac:dyDescent="0.45">
      <c r="A33" s="12">
        <v>28</v>
      </c>
      <c r="B33" s="11" t="s">
        <v>38</v>
      </c>
      <c r="C33" s="38">
        <v>1</v>
      </c>
      <c r="D33" s="14">
        <v>5743</v>
      </c>
      <c r="E33" s="14">
        <f t="shared" si="0"/>
        <v>5743</v>
      </c>
    </row>
    <row r="34" spans="1:14" s="17" customFormat="1" ht="33" outlineLevel="2" x14ac:dyDescent="0.45">
      <c r="A34" s="12">
        <v>29</v>
      </c>
      <c r="B34" s="11" t="s">
        <v>39</v>
      </c>
      <c r="C34" s="38">
        <v>2</v>
      </c>
      <c r="D34" s="14">
        <f>D32</f>
        <v>1722</v>
      </c>
      <c r="E34" s="14">
        <f>D34*C34</f>
        <v>3444</v>
      </c>
      <c r="F34" s="31" t="s">
        <v>65</v>
      </c>
      <c r="G34" s="17" t="s">
        <v>71</v>
      </c>
      <c r="N34" s="17" t="s">
        <v>104</v>
      </c>
    </row>
    <row r="35" spans="1:14" s="17" customFormat="1" ht="18" outlineLevel="2" x14ac:dyDescent="0.45">
      <c r="A35" s="84">
        <v>30</v>
      </c>
      <c r="B35" s="11" t="s">
        <v>3</v>
      </c>
      <c r="C35" s="85">
        <v>1</v>
      </c>
      <c r="D35" s="86">
        <v>12429</v>
      </c>
      <c r="E35" s="86">
        <f>C35*D35</f>
        <v>12429</v>
      </c>
    </row>
    <row r="36" spans="1:14" s="17" customFormat="1" ht="18" outlineLevel="2" x14ac:dyDescent="0.45">
      <c r="A36" s="84"/>
      <c r="B36" s="11" t="s">
        <v>4</v>
      </c>
      <c r="C36" s="85"/>
      <c r="D36" s="86"/>
      <c r="E36" s="86"/>
    </row>
    <row r="37" spans="1:14" s="17" customFormat="1" ht="18" outlineLevel="2" x14ac:dyDescent="0.45">
      <c r="A37" s="84"/>
      <c r="B37" s="11" t="s">
        <v>5</v>
      </c>
      <c r="C37" s="85"/>
      <c r="D37" s="86"/>
      <c r="E37" s="86"/>
    </row>
    <row r="38" spans="1:14" s="17" customFormat="1" ht="18" outlineLevel="2" x14ac:dyDescent="0.45">
      <c r="A38" s="84"/>
      <c r="B38" s="11" t="s">
        <v>6</v>
      </c>
      <c r="C38" s="85"/>
      <c r="D38" s="86"/>
      <c r="E38" s="86"/>
    </row>
    <row r="39" spans="1:14" s="17" customFormat="1" ht="18" outlineLevel="2" x14ac:dyDescent="0.45">
      <c r="A39" s="84"/>
      <c r="B39" s="11" t="s">
        <v>7</v>
      </c>
      <c r="C39" s="85"/>
      <c r="D39" s="86"/>
      <c r="E39" s="86"/>
    </row>
    <row r="40" spans="1:14" s="17" customFormat="1" ht="18" outlineLevel="2" x14ac:dyDescent="0.45">
      <c r="A40" s="84"/>
      <c r="B40" s="11" t="s">
        <v>8</v>
      </c>
      <c r="C40" s="85"/>
      <c r="D40" s="86"/>
      <c r="E40" s="86"/>
    </row>
    <row r="41" spans="1:14" s="17" customFormat="1" ht="18" outlineLevel="2" x14ac:dyDescent="0.45">
      <c r="A41" s="84"/>
      <c r="B41" s="11" t="s">
        <v>9</v>
      </c>
      <c r="C41" s="85"/>
      <c r="D41" s="86"/>
      <c r="E41" s="86"/>
    </row>
    <row r="42" spans="1:14" s="17" customFormat="1" ht="36" outlineLevel="2" x14ac:dyDescent="0.45">
      <c r="A42" s="84"/>
      <c r="B42" s="11" t="s">
        <v>10</v>
      </c>
      <c r="C42" s="85"/>
      <c r="D42" s="86"/>
      <c r="E42" s="86"/>
    </row>
    <row r="43" spans="1:14" s="17" customFormat="1" ht="18" outlineLevel="2" x14ac:dyDescent="0.45">
      <c r="A43" s="7">
        <v>31</v>
      </c>
      <c r="B43" s="11" t="s">
        <v>40</v>
      </c>
      <c r="C43" s="38">
        <v>2</v>
      </c>
      <c r="D43" s="14">
        <v>797</v>
      </c>
      <c r="E43" s="14">
        <f t="shared" si="0"/>
        <v>1594</v>
      </c>
      <c r="N43" s="17" t="s">
        <v>104</v>
      </c>
    </row>
    <row r="44" spans="1:14" s="17" customFormat="1" ht="90" outlineLevel="2" x14ac:dyDescent="0.45">
      <c r="A44" s="7">
        <v>32</v>
      </c>
      <c r="B44" s="11" t="s">
        <v>29</v>
      </c>
      <c r="C44" s="37">
        <v>1</v>
      </c>
      <c r="D44" s="14">
        <v>23129</v>
      </c>
      <c r="E44" s="14">
        <f t="shared" si="0"/>
        <v>23129</v>
      </c>
    </row>
    <row r="45" spans="1:14" s="17" customFormat="1" ht="30.5" customHeight="1" outlineLevel="2" x14ac:dyDescent="0.45">
      <c r="A45" s="7">
        <v>33</v>
      </c>
      <c r="B45" s="11" t="s">
        <v>59</v>
      </c>
      <c r="C45" s="37">
        <v>80</v>
      </c>
      <c r="D45" s="14">
        <v>116.15</v>
      </c>
      <c r="E45" s="14">
        <f t="shared" si="0"/>
        <v>9292</v>
      </c>
      <c r="F45" s="32" t="s">
        <v>56</v>
      </c>
    </row>
    <row r="46" spans="1:14" s="17" customFormat="1" ht="25.5" customHeight="1" outlineLevel="2" x14ac:dyDescent="0.45">
      <c r="A46" s="7">
        <v>34</v>
      </c>
      <c r="B46" s="11" t="s">
        <v>60</v>
      </c>
      <c r="C46" s="37">
        <v>5</v>
      </c>
      <c r="D46" s="14">
        <v>2889</v>
      </c>
      <c r="E46" s="14">
        <f t="shared" si="0"/>
        <v>14445</v>
      </c>
      <c r="F46" s="32" t="s">
        <v>57</v>
      </c>
    </row>
    <row r="47" spans="1:14" s="17" customFormat="1" ht="18" outlineLevel="2" x14ac:dyDescent="0.45">
      <c r="A47" s="7">
        <v>35</v>
      </c>
      <c r="B47" s="8" t="s">
        <v>18</v>
      </c>
      <c r="C47" s="39">
        <v>1</v>
      </c>
      <c r="D47" s="9">
        <v>150</v>
      </c>
      <c r="E47" s="9">
        <f t="shared" si="0"/>
        <v>150</v>
      </c>
    </row>
    <row r="48" spans="1:14" s="17" customFormat="1" ht="18" outlineLevel="2" x14ac:dyDescent="0.45">
      <c r="A48" s="7">
        <v>36</v>
      </c>
      <c r="B48" s="8" t="s">
        <v>41</v>
      </c>
      <c r="C48" s="39">
        <v>2</v>
      </c>
      <c r="D48" s="9">
        <v>40</v>
      </c>
      <c r="E48" s="9">
        <f t="shared" si="0"/>
        <v>80</v>
      </c>
    </row>
    <row r="49" spans="1:14" s="17" customFormat="1" ht="18" customHeight="1" outlineLevel="1" x14ac:dyDescent="0.45">
      <c r="A49" s="76" t="s">
        <v>114</v>
      </c>
      <c r="B49" s="76"/>
      <c r="C49" s="76"/>
      <c r="D49" s="76"/>
      <c r="E49" s="76"/>
    </row>
    <row r="50" spans="1:14" s="17" customFormat="1" ht="72" outlineLevel="2" x14ac:dyDescent="0.45">
      <c r="A50" s="12">
        <v>37</v>
      </c>
      <c r="B50" s="11" t="s">
        <v>28</v>
      </c>
      <c r="C50" s="38">
        <v>2</v>
      </c>
      <c r="D50" s="14">
        <v>779</v>
      </c>
      <c r="E50" s="14">
        <f t="shared" si="0"/>
        <v>1558</v>
      </c>
      <c r="N50" s="17" t="s">
        <v>104</v>
      </c>
    </row>
    <row r="51" spans="1:14" s="17" customFormat="1" ht="126" outlineLevel="2" x14ac:dyDescent="0.45">
      <c r="A51" s="12">
        <v>38</v>
      </c>
      <c r="B51" s="13" t="s">
        <v>42</v>
      </c>
      <c r="C51" s="38">
        <v>2</v>
      </c>
      <c r="D51" s="14">
        <v>799</v>
      </c>
      <c r="E51" s="14">
        <f t="shared" si="0"/>
        <v>1598</v>
      </c>
      <c r="N51" s="17" t="s">
        <v>104</v>
      </c>
    </row>
    <row r="52" spans="1:14" s="17" customFormat="1" ht="36" outlineLevel="2" x14ac:dyDescent="0.45">
      <c r="A52" s="12">
        <v>39</v>
      </c>
      <c r="B52" s="11" t="s">
        <v>97</v>
      </c>
      <c r="C52" s="38">
        <v>2</v>
      </c>
      <c r="D52" s="14">
        <f>L52</f>
        <v>47.543936170212767</v>
      </c>
      <c r="E52" s="14">
        <f t="shared" si="0"/>
        <v>95.087872340425534</v>
      </c>
      <c r="F52" s="30" t="s">
        <v>66</v>
      </c>
      <c r="G52" s="19" t="s">
        <v>67</v>
      </c>
      <c r="H52" s="20">
        <f>19431</f>
        <v>19431</v>
      </c>
      <c r="I52" s="18">
        <v>0.15</v>
      </c>
      <c r="J52" s="17">
        <f>H52*I52</f>
        <v>2914.65</v>
      </c>
      <c r="K52" s="17">
        <f>H52+J52</f>
        <v>22345.65</v>
      </c>
      <c r="L52" s="17">
        <f>K52/470</f>
        <v>47.543936170212767</v>
      </c>
      <c r="N52" s="17" t="s">
        <v>104</v>
      </c>
    </row>
    <row r="53" spans="1:14" s="17" customFormat="1" ht="72" outlineLevel="2" x14ac:dyDescent="0.45">
      <c r="A53" s="12">
        <v>40</v>
      </c>
      <c r="B53" s="13" t="s">
        <v>61</v>
      </c>
      <c r="C53" s="38">
        <v>1</v>
      </c>
      <c r="D53" s="14">
        <v>41200</v>
      </c>
      <c r="E53" s="14">
        <f t="shared" si="0"/>
        <v>41200</v>
      </c>
    </row>
    <row r="54" spans="1:14" s="17" customFormat="1" ht="56" customHeight="1" outlineLevel="2" x14ac:dyDescent="0.45">
      <c r="A54" s="12">
        <v>41</v>
      </c>
      <c r="B54" s="13" t="s">
        <v>80</v>
      </c>
      <c r="C54" s="38">
        <v>1</v>
      </c>
      <c r="D54" s="14">
        <v>5200</v>
      </c>
      <c r="E54" s="14">
        <f t="shared" si="0"/>
        <v>5200</v>
      </c>
      <c r="F54" s="28" t="s">
        <v>89</v>
      </c>
      <c r="G54" s="4" t="s">
        <v>69</v>
      </c>
      <c r="H54" s="17" t="s">
        <v>81</v>
      </c>
      <c r="N54" s="17" t="s">
        <v>103</v>
      </c>
    </row>
    <row r="55" spans="1:14" s="17" customFormat="1" ht="72" outlineLevel="2" x14ac:dyDescent="0.45">
      <c r="A55" s="12">
        <v>42</v>
      </c>
      <c r="B55" s="13" t="s">
        <v>79</v>
      </c>
      <c r="C55" s="38">
        <v>2</v>
      </c>
      <c r="D55" s="14">
        <f>I55</f>
        <v>787.2</v>
      </c>
      <c r="E55" s="14">
        <f t="shared" si="0"/>
        <v>1574.4</v>
      </c>
      <c r="F55" s="17">
        <v>984</v>
      </c>
      <c r="G55" s="18">
        <v>0.2</v>
      </c>
      <c r="H55" s="17">
        <f>F55*G55</f>
        <v>196.8</v>
      </c>
      <c r="I55" s="17">
        <f>F55-H55</f>
        <v>787.2</v>
      </c>
      <c r="N55" s="17" t="s">
        <v>104</v>
      </c>
    </row>
    <row r="56" spans="1:14" s="17" customFormat="1" ht="18" outlineLevel="2" x14ac:dyDescent="0.45">
      <c r="A56" s="12">
        <v>43</v>
      </c>
      <c r="B56" s="13" t="s">
        <v>43</v>
      </c>
      <c r="C56" s="38">
        <v>2</v>
      </c>
      <c r="D56" s="14">
        <v>190</v>
      </c>
      <c r="E56" s="14">
        <f t="shared" si="0"/>
        <v>380</v>
      </c>
      <c r="N56" s="17" t="s">
        <v>104</v>
      </c>
    </row>
    <row r="57" spans="1:14" s="17" customFormat="1" ht="18" outlineLevel="1" x14ac:dyDescent="0.45">
      <c r="A57" s="76" t="s">
        <v>115</v>
      </c>
      <c r="B57" s="76"/>
      <c r="C57" s="76"/>
      <c r="D57" s="76"/>
      <c r="E57" s="76"/>
    </row>
    <row r="58" spans="1:14" s="17" customFormat="1" ht="72" outlineLevel="2" x14ac:dyDescent="0.45">
      <c r="A58" s="12">
        <v>44</v>
      </c>
      <c r="B58" s="11" t="s">
        <v>28</v>
      </c>
      <c r="C58" s="42">
        <v>1</v>
      </c>
      <c r="D58" s="14">
        <v>779</v>
      </c>
      <c r="E58" s="14">
        <f t="shared" si="0"/>
        <v>779</v>
      </c>
      <c r="N58" s="17" t="s">
        <v>104</v>
      </c>
    </row>
    <row r="59" spans="1:14" s="17" customFormat="1" ht="18" outlineLevel="2" x14ac:dyDescent="0.45">
      <c r="A59" s="12">
        <v>45</v>
      </c>
      <c r="B59" s="13" t="s">
        <v>78</v>
      </c>
      <c r="C59" s="38">
        <v>1</v>
      </c>
      <c r="D59" s="14">
        <f>I59</f>
        <v>760</v>
      </c>
      <c r="E59" s="14">
        <f t="shared" si="0"/>
        <v>760</v>
      </c>
      <c r="F59" s="17">
        <v>950</v>
      </c>
      <c r="G59" s="18">
        <v>0.2</v>
      </c>
      <c r="H59" s="17">
        <f>F59*G59</f>
        <v>190</v>
      </c>
      <c r="I59" s="17">
        <f>F59-H59</f>
        <v>760</v>
      </c>
    </row>
    <row r="60" spans="1:14" s="17" customFormat="1" ht="125.25" customHeight="1" outlineLevel="2" x14ac:dyDescent="0.45">
      <c r="A60" s="12">
        <v>46</v>
      </c>
      <c r="B60" s="13" t="s">
        <v>44</v>
      </c>
      <c r="C60" s="38">
        <v>1</v>
      </c>
      <c r="D60" s="14">
        <f>L60</f>
        <v>418.40425531914894</v>
      </c>
      <c r="E60" s="14">
        <f t="shared" si="0"/>
        <v>418.40425531914894</v>
      </c>
      <c r="F60" s="28" t="s">
        <v>87</v>
      </c>
      <c r="G60" s="19" t="s">
        <v>67</v>
      </c>
      <c r="H60" s="20">
        <f>171000</f>
        <v>171000</v>
      </c>
      <c r="I60" s="18">
        <v>0.15</v>
      </c>
      <c r="J60" s="17">
        <f>H60*I60</f>
        <v>25650</v>
      </c>
      <c r="K60" s="17">
        <f>H60+J60</f>
        <v>196650</v>
      </c>
      <c r="L60" s="17">
        <f>K60/470</f>
        <v>418.40425531914894</v>
      </c>
    </row>
    <row r="61" spans="1:14" s="17" customFormat="1" ht="108" outlineLevel="2" x14ac:dyDescent="0.45">
      <c r="A61" s="12">
        <v>47</v>
      </c>
      <c r="B61" s="13" t="s">
        <v>77</v>
      </c>
      <c r="C61" s="12">
        <v>1</v>
      </c>
      <c r="D61" s="14">
        <f>I61</f>
        <v>1149.4000000000001</v>
      </c>
      <c r="E61" s="14">
        <f t="shared" si="0"/>
        <v>1149.4000000000001</v>
      </c>
      <c r="F61" s="29" t="s">
        <v>27</v>
      </c>
      <c r="G61" s="18">
        <v>0.3</v>
      </c>
      <c r="H61" s="17">
        <f>F61*G61</f>
        <v>492.59999999999997</v>
      </c>
      <c r="I61" s="17">
        <f>F61-H61</f>
        <v>1149.4000000000001</v>
      </c>
    </row>
    <row r="62" spans="1:14" s="17" customFormat="1" ht="18" outlineLevel="2" x14ac:dyDescent="0.45">
      <c r="A62" s="12">
        <v>48</v>
      </c>
      <c r="B62" s="13" t="s">
        <v>11</v>
      </c>
      <c r="C62" s="38">
        <v>1</v>
      </c>
      <c r="D62" s="14">
        <v>217</v>
      </c>
      <c r="E62" s="14">
        <f t="shared" si="0"/>
        <v>217</v>
      </c>
    </row>
    <row r="63" spans="1:14" s="17" customFormat="1" ht="18" outlineLevel="2" x14ac:dyDescent="0.45">
      <c r="A63" s="12">
        <v>48</v>
      </c>
      <c r="B63" s="11" t="s">
        <v>21</v>
      </c>
      <c r="C63" s="38">
        <v>1</v>
      </c>
      <c r="D63" s="14">
        <v>459</v>
      </c>
      <c r="E63" s="14">
        <f t="shared" si="0"/>
        <v>459</v>
      </c>
    </row>
    <row r="64" spans="1:14" s="17" customFormat="1" ht="18" outlineLevel="2" x14ac:dyDescent="0.45">
      <c r="A64" s="12">
        <v>49</v>
      </c>
      <c r="B64" s="13" t="s">
        <v>46</v>
      </c>
      <c r="C64" s="38">
        <v>1</v>
      </c>
      <c r="D64" s="14">
        <v>8471</v>
      </c>
      <c r="E64" s="14">
        <f t="shared" si="0"/>
        <v>8471</v>
      </c>
    </row>
    <row r="65" spans="1:14" s="17" customFormat="1" ht="18" outlineLevel="1" x14ac:dyDescent="0.45">
      <c r="A65" s="77" t="s">
        <v>116</v>
      </c>
      <c r="B65" s="77"/>
      <c r="C65" s="77"/>
      <c r="D65" s="77"/>
      <c r="E65" s="77"/>
    </row>
    <row r="66" spans="1:14" s="17" customFormat="1" ht="144" outlineLevel="2" x14ac:dyDescent="0.45">
      <c r="A66" s="12">
        <v>50</v>
      </c>
      <c r="B66" s="13" t="s">
        <v>47</v>
      </c>
      <c r="C66" s="38">
        <v>4</v>
      </c>
      <c r="D66" s="14">
        <v>1277</v>
      </c>
      <c r="E66" s="14">
        <f t="shared" ref="E66:E81" si="2">D66*C66</f>
        <v>5108</v>
      </c>
    </row>
    <row r="67" spans="1:14" s="17" customFormat="1" ht="18" outlineLevel="2" x14ac:dyDescent="0.45">
      <c r="A67" s="12">
        <v>51</v>
      </c>
      <c r="B67" s="13" t="s">
        <v>18</v>
      </c>
      <c r="C67" s="38">
        <v>1</v>
      </c>
      <c r="D67" s="14">
        <v>150</v>
      </c>
      <c r="E67" s="14">
        <f t="shared" si="2"/>
        <v>150</v>
      </c>
    </row>
    <row r="68" spans="1:14" s="17" customFormat="1" ht="18" outlineLevel="2" x14ac:dyDescent="0.45">
      <c r="A68" s="12">
        <v>52</v>
      </c>
      <c r="B68" s="13" t="s">
        <v>141</v>
      </c>
      <c r="C68" s="38">
        <v>2</v>
      </c>
      <c r="D68" s="14">
        <v>1516</v>
      </c>
      <c r="E68" s="14">
        <f t="shared" si="2"/>
        <v>3032</v>
      </c>
      <c r="F68" s="17">
        <v>950</v>
      </c>
      <c r="G68" s="18">
        <v>0.2</v>
      </c>
      <c r="H68" s="17">
        <f>F68*G68</f>
        <v>190</v>
      </c>
      <c r="I68" s="17">
        <f>F68-H68</f>
        <v>760</v>
      </c>
      <c r="N68" s="17" t="s">
        <v>104</v>
      </c>
    </row>
    <row r="69" spans="1:14" s="17" customFormat="1" ht="108" outlineLevel="2" x14ac:dyDescent="0.45">
      <c r="A69" s="12">
        <v>53</v>
      </c>
      <c r="B69" s="13" t="s">
        <v>77</v>
      </c>
      <c r="C69" s="12">
        <v>1</v>
      </c>
      <c r="D69" s="14">
        <f>I69</f>
        <v>1149.4000000000001</v>
      </c>
      <c r="E69" s="14">
        <f t="shared" si="2"/>
        <v>1149.4000000000001</v>
      </c>
      <c r="F69" s="29" t="s">
        <v>27</v>
      </c>
      <c r="G69" s="18">
        <v>0.3</v>
      </c>
      <c r="H69" s="17">
        <f>F69*G69</f>
        <v>492.59999999999997</v>
      </c>
      <c r="I69" s="17">
        <f>F69-H69</f>
        <v>1149.4000000000001</v>
      </c>
    </row>
    <row r="70" spans="1:14" s="17" customFormat="1" ht="18" outlineLevel="2" x14ac:dyDescent="0.45">
      <c r="A70" s="12">
        <v>54</v>
      </c>
      <c r="B70" s="13" t="s">
        <v>11</v>
      </c>
      <c r="C70" s="38">
        <v>1</v>
      </c>
      <c r="D70" s="14">
        <v>217</v>
      </c>
      <c r="E70" s="14">
        <f t="shared" si="2"/>
        <v>217</v>
      </c>
    </row>
    <row r="71" spans="1:14" s="17" customFormat="1" ht="18" outlineLevel="2" x14ac:dyDescent="0.45">
      <c r="A71" s="12">
        <v>55</v>
      </c>
      <c r="B71" s="13" t="s">
        <v>62</v>
      </c>
      <c r="C71" s="38">
        <v>2</v>
      </c>
      <c r="D71" s="14">
        <v>500</v>
      </c>
      <c r="E71" s="14">
        <f t="shared" si="2"/>
        <v>1000</v>
      </c>
    </row>
    <row r="72" spans="1:14" s="17" customFormat="1" ht="108" outlineLevel="2" x14ac:dyDescent="0.45">
      <c r="A72" s="12">
        <v>56</v>
      </c>
      <c r="B72" s="13" t="s">
        <v>106</v>
      </c>
      <c r="C72" s="38">
        <v>1</v>
      </c>
      <c r="D72" s="14">
        <v>1883</v>
      </c>
      <c r="E72" s="14">
        <f t="shared" si="2"/>
        <v>1883</v>
      </c>
    </row>
    <row r="73" spans="1:14" s="17" customFormat="1" ht="36" outlineLevel="2" x14ac:dyDescent="0.45">
      <c r="A73" s="12">
        <v>57</v>
      </c>
      <c r="B73" s="11" t="s">
        <v>97</v>
      </c>
      <c r="C73" s="38">
        <v>2</v>
      </c>
      <c r="D73" s="14">
        <f>L73</f>
        <v>47.543936170212767</v>
      </c>
      <c r="E73" s="14">
        <f t="shared" si="2"/>
        <v>95.087872340425534</v>
      </c>
      <c r="F73" s="30" t="s">
        <v>66</v>
      </c>
      <c r="G73" s="19" t="s">
        <v>67</v>
      </c>
      <c r="H73" s="20">
        <f>19431</f>
        <v>19431</v>
      </c>
      <c r="I73" s="18">
        <v>0.15</v>
      </c>
      <c r="J73" s="17">
        <f>H73*I73</f>
        <v>2914.65</v>
      </c>
      <c r="K73" s="17">
        <f>H73+J73</f>
        <v>22345.65</v>
      </c>
      <c r="L73" s="17">
        <f>K73/470</f>
        <v>47.543936170212767</v>
      </c>
      <c r="N73" s="17" t="s">
        <v>104</v>
      </c>
    </row>
    <row r="74" spans="1:14" s="17" customFormat="1" ht="54" outlineLevel="2" x14ac:dyDescent="0.45">
      <c r="A74" s="12">
        <v>58</v>
      </c>
      <c r="B74" s="13" t="s">
        <v>48</v>
      </c>
      <c r="C74" s="38">
        <v>3</v>
      </c>
      <c r="D74" s="14">
        <v>3087</v>
      </c>
      <c r="E74" s="14">
        <f t="shared" si="2"/>
        <v>9261</v>
      </c>
      <c r="N74" s="17" t="s">
        <v>104</v>
      </c>
    </row>
    <row r="75" spans="1:14" s="17" customFormat="1" ht="18" outlineLevel="2" x14ac:dyDescent="0.45">
      <c r="A75" s="12">
        <v>59</v>
      </c>
      <c r="B75" s="13" t="s">
        <v>58</v>
      </c>
      <c r="C75" s="38">
        <v>1</v>
      </c>
      <c r="D75" s="14">
        <v>850</v>
      </c>
      <c r="E75" s="14">
        <f t="shared" si="2"/>
        <v>850</v>
      </c>
    </row>
    <row r="76" spans="1:14" s="17" customFormat="1" ht="90" outlineLevel="2" x14ac:dyDescent="0.45">
      <c r="A76" s="12">
        <v>60</v>
      </c>
      <c r="B76" s="13" t="s">
        <v>105</v>
      </c>
      <c r="C76" s="38">
        <v>2</v>
      </c>
      <c r="D76" s="14">
        <v>1394</v>
      </c>
      <c r="E76" s="14">
        <f t="shared" si="2"/>
        <v>2788</v>
      </c>
    </row>
    <row r="77" spans="1:14" s="17" customFormat="1" ht="54" outlineLevel="2" x14ac:dyDescent="0.45">
      <c r="A77" s="12">
        <v>61</v>
      </c>
      <c r="B77" s="13" t="s">
        <v>49</v>
      </c>
      <c r="C77" s="38">
        <v>1</v>
      </c>
      <c r="D77" s="14">
        <v>12320</v>
      </c>
      <c r="E77" s="14">
        <f t="shared" si="2"/>
        <v>12320</v>
      </c>
      <c r="F77" s="34" t="s">
        <v>70</v>
      </c>
    </row>
    <row r="78" spans="1:14" ht="90" outlineLevel="2" x14ac:dyDescent="0.6">
      <c r="A78" s="12">
        <v>62</v>
      </c>
      <c r="B78" s="13" t="s">
        <v>142</v>
      </c>
      <c r="C78" s="38">
        <v>1</v>
      </c>
      <c r="D78" s="14">
        <v>1386</v>
      </c>
      <c r="E78" s="14">
        <f t="shared" si="2"/>
        <v>1386</v>
      </c>
      <c r="N78" s="21" t="s">
        <v>103</v>
      </c>
    </row>
    <row r="79" spans="1:14" ht="18" outlineLevel="2" x14ac:dyDescent="0.6">
      <c r="A79" s="12">
        <v>63</v>
      </c>
      <c r="B79" s="13" t="s">
        <v>51</v>
      </c>
      <c r="C79" s="38">
        <v>1</v>
      </c>
      <c r="D79" s="14">
        <v>2955</v>
      </c>
      <c r="E79" s="14">
        <f t="shared" si="2"/>
        <v>2955</v>
      </c>
    </row>
    <row r="80" spans="1:14" s="17" customFormat="1" ht="18" outlineLevel="2" x14ac:dyDescent="0.6">
      <c r="A80" s="12">
        <v>64</v>
      </c>
      <c r="B80" s="13" t="s">
        <v>43</v>
      </c>
      <c r="C80" s="38">
        <v>2</v>
      </c>
      <c r="D80" s="14">
        <v>190</v>
      </c>
      <c r="E80" s="14">
        <f t="shared" si="2"/>
        <v>380</v>
      </c>
      <c r="N80" s="21" t="s">
        <v>103</v>
      </c>
    </row>
    <row r="81" spans="1:14" s="17" customFormat="1" ht="18" outlineLevel="2" x14ac:dyDescent="0.6">
      <c r="A81" s="12">
        <v>65</v>
      </c>
      <c r="B81" s="13" t="s">
        <v>73</v>
      </c>
      <c r="C81" s="38">
        <v>1</v>
      </c>
      <c r="D81" s="14">
        <v>30700</v>
      </c>
      <c r="E81" s="14">
        <f t="shared" si="2"/>
        <v>30700</v>
      </c>
      <c r="F81" s="17" t="s">
        <v>74</v>
      </c>
      <c r="N81" s="21" t="s">
        <v>103</v>
      </c>
    </row>
    <row r="82" spans="1:14" s="17" customFormat="1" ht="18" outlineLevel="1" x14ac:dyDescent="0.45">
      <c r="A82" s="76" t="s">
        <v>117</v>
      </c>
      <c r="B82" s="76"/>
      <c r="C82" s="76"/>
      <c r="D82" s="76"/>
      <c r="E82" s="76"/>
    </row>
    <row r="83" spans="1:14" s="17" customFormat="1" ht="18" outlineLevel="2" x14ac:dyDescent="0.45">
      <c r="A83" s="12">
        <v>66</v>
      </c>
      <c r="B83" s="13" t="s">
        <v>45</v>
      </c>
      <c r="C83" s="37">
        <v>1</v>
      </c>
      <c r="D83" s="14">
        <v>137921</v>
      </c>
      <c r="E83" s="14">
        <f t="shared" ref="E83:E90" si="3">D83*C83</f>
        <v>137921</v>
      </c>
    </row>
    <row r="84" spans="1:14" ht="126" outlineLevel="2" x14ac:dyDescent="0.6">
      <c r="A84" s="12">
        <v>67</v>
      </c>
      <c r="B84" s="13" t="s">
        <v>42</v>
      </c>
      <c r="C84" s="37">
        <v>2</v>
      </c>
      <c r="D84" s="14">
        <v>799</v>
      </c>
      <c r="E84" s="14">
        <f t="shared" si="3"/>
        <v>1598</v>
      </c>
    </row>
    <row r="85" spans="1:14" ht="18" outlineLevel="2" x14ac:dyDescent="0.6">
      <c r="A85" s="12">
        <v>68</v>
      </c>
      <c r="B85" s="13" t="s">
        <v>78</v>
      </c>
      <c r="C85" s="38">
        <v>1</v>
      </c>
      <c r="D85" s="14">
        <f>I85</f>
        <v>760</v>
      </c>
      <c r="E85" s="14">
        <f t="shared" si="3"/>
        <v>760</v>
      </c>
      <c r="F85" s="17">
        <v>950</v>
      </c>
      <c r="G85" s="18">
        <v>0.2</v>
      </c>
      <c r="H85" s="17">
        <f>F85*G85</f>
        <v>190</v>
      </c>
      <c r="I85" s="17">
        <f>F85-H85</f>
        <v>760</v>
      </c>
    </row>
    <row r="86" spans="1:14" ht="18" outlineLevel="2" x14ac:dyDescent="0.6">
      <c r="A86" s="12">
        <v>69</v>
      </c>
      <c r="B86" s="13" t="s">
        <v>43</v>
      </c>
      <c r="C86" s="37">
        <v>1</v>
      </c>
      <c r="D86" s="14">
        <v>190</v>
      </c>
      <c r="E86" s="14">
        <f t="shared" si="3"/>
        <v>190</v>
      </c>
    </row>
    <row r="87" spans="1:14" ht="108" outlineLevel="2" x14ac:dyDescent="0.6">
      <c r="A87" s="12">
        <v>70</v>
      </c>
      <c r="B87" s="13" t="s">
        <v>54</v>
      </c>
      <c r="C87" s="38">
        <v>1</v>
      </c>
      <c r="D87" s="14">
        <v>1096</v>
      </c>
      <c r="E87" s="14">
        <f t="shared" si="3"/>
        <v>1096</v>
      </c>
    </row>
    <row r="88" spans="1:14" ht="72" outlineLevel="2" x14ac:dyDescent="0.6">
      <c r="A88" s="12">
        <v>71</v>
      </c>
      <c r="B88" s="13" t="s">
        <v>82</v>
      </c>
      <c r="C88" s="38">
        <v>1</v>
      </c>
      <c r="D88" s="14">
        <f>I88</f>
        <v>788</v>
      </c>
      <c r="E88" s="14">
        <f t="shared" si="3"/>
        <v>788</v>
      </c>
      <c r="F88" s="17">
        <v>985</v>
      </c>
      <c r="G88" s="18">
        <v>0.2</v>
      </c>
      <c r="H88" s="17">
        <f>F88*G88</f>
        <v>197</v>
      </c>
      <c r="I88" s="17">
        <f>F88-H88</f>
        <v>788</v>
      </c>
    </row>
    <row r="89" spans="1:14" ht="72" outlineLevel="2" x14ac:dyDescent="0.6">
      <c r="A89" s="12">
        <v>72</v>
      </c>
      <c r="B89" s="13" t="s">
        <v>53</v>
      </c>
      <c r="C89" s="38">
        <v>2</v>
      </c>
      <c r="D89" s="14">
        <v>479</v>
      </c>
      <c r="E89" s="14">
        <f t="shared" si="3"/>
        <v>958</v>
      </c>
    </row>
    <row r="90" spans="1:14" ht="36" outlineLevel="2" x14ac:dyDescent="0.6">
      <c r="A90" s="12">
        <v>73</v>
      </c>
      <c r="B90" s="13" t="s">
        <v>97</v>
      </c>
      <c r="C90" s="38">
        <v>1</v>
      </c>
      <c r="D90" s="14">
        <f>L90</f>
        <v>47.543936170212767</v>
      </c>
      <c r="E90" s="14">
        <f t="shared" si="3"/>
        <v>47.543936170212767</v>
      </c>
      <c r="F90" s="30" t="s">
        <v>66</v>
      </c>
      <c r="G90" s="19" t="s">
        <v>67</v>
      </c>
      <c r="H90" s="20">
        <f>19431</f>
        <v>19431</v>
      </c>
      <c r="I90" s="18">
        <v>0.15</v>
      </c>
      <c r="J90" s="17">
        <f>H90*I90</f>
        <v>2914.65</v>
      </c>
      <c r="K90" s="17">
        <f>H90+J90</f>
        <v>22345.65</v>
      </c>
      <c r="L90" s="17">
        <f>K90/470</f>
        <v>47.543936170212767</v>
      </c>
    </row>
    <row r="91" spans="1:14" s="17" customFormat="1" ht="18" outlineLevel="1" x14ac:dyDescent="0.45">
      <c r="A91" s="76" t="s">
        <v>118</v>
      </c>
      <c r="B91" s="76"/>
      <c r="C91" s="76"/>
      <c r="D91" s="76"/>
      <c r="E91" s="76"/>
    </row>
    <row r="92" spans="1:14" s="17" customFormat="1" ht="72" outlineLevel="2" x14ac:dyDescent="0.45">
      <c r="A92" s="12">
        <v>74</v>
      </c>
      <c r="B92" s="13" t="s">
        <v>55</v>
      </c>
      <c r="C92" s="38">
        <v>2</v>
      </c>
      <c r="D92" s="14">
        <v>779</v>
      </c>
      <c r="E92" s="14">
        <f t="shared" ref="E92:E98" si="4">D92*C92</f>
        <v>1558</v>
      </c>
      <c r="N92" s="17" t="s">
        <v>104</v>
      </c>
    </row>
    <row r="93" spans="1:14" s="17" customFormat="1" ht="18" outlineLevel="2" x14ac:dyDescent="0.45">
      <c r="A93" s="12">
        <v>75</v>
      </c>
      <c r="B93" s="13" t="s">
        <v>78</v>
      </c>
      <c r="C93" s="38">
        <v>3</v>
      </c>
      <c r="D93" s="14">
        <f>I93</f>
        <v>760</v>
      </c>
      <c r="E93" s="14">
        <f t="shared" si="4"/>
        <v>2280</v>
      </c>
      <c r="F93" s="17">
        <v>950</v>
      </c>
      <c r="G93" s="18">
        <v>0.2</v>
      </c>
      <c r="H93" s="17">
        <f>F93*G93</f>
        <v>190</v>
      </c>
      <c r="I93" s="17">
        <f>F93-H93</f>
        <v>760</v>
      </c>
    </row>
    <row r="94" spans="1:14" s="17" customFormat="1" ht="126" outlineLevel="2" x14ac:dyDescent="0.45">
      <c r="A94" s="12">
        <v>76</v>
      </c>
      <c r="B94" s="13" t="s">
        <v>42</v>
      </c>
      <c r="C94" s="38">
        <v>1</v>
      </c>
      <c r="D94" s="14">
        <v>799</v>
      </c>
      <c r="E94" s="14">
        <f t="shared" si="4"/>
        <v>799</v>
      </c>
    </row>
    <row r="95" spans="1:14" s="17" customFormat="1" ht="36" outlineLevel="2" x14ac:dyDescent="0.45">
      <c r="A95" s="12">
        <v>77</v>
      </c>
      <c r="B95" s="13" t="s">
        <v>97</v>
      </c>
      <c r="C95" s="38">
        <v>2</v>
      </c>
      <c r="D95" s="14">
        <f>L95</f>
        <v>47.543936170212767</v>
      </c>
      <c r="E95" s="14">
        <f t="shared" si="4"/>
        <v>95.087872340425534</v>
      </c>
      <c r="F95" s="33" t="s">
        <v>66</v>
      </c>
      <c r="G95" s="25" t="s">
        <v>67</v>
      </c>
      <c r="H95" s="1">
        <f>19431</f>
        <v>19431</v>
      </c>
      <c r="I95" s="5">
        <v>0.15</v>
      </c>
      <c r="J95" s="1">
        <f>H95*I95</f>
        <v>2914.65</v>
      </c>
      <c r="K95" s="1">
        <f>H95+J95</f>
        <v>22345.65</v>
      </c>
      <c r="L95" s="1">
        <f>K95/470</f>
        <v>47.543936170212767</v>
      </c>
    </row>
    <row r="96" spans="1:14" s="17" customFormat="1" ht="54" outlineLevel="2" x14ac:dyDescent="0.45">
      <c r="A96" s="12">
        <v>78</v>
      </c>
      <c r="B96" s="13" t="s">
        <v>12</v>
      </c>
      <c r="C96" s="38">
        <v>2</v>
      </c>
      <c r="D96" s="14">
        <v>21100</v>
      </c>
      <c r="E96" s="14">
        <f t="shared" si="4"/>
        <v>42200</v>
      </c>
      <c r="F96" s="28" t="s">
        <v>90</v>
      </c>
      <c r="G96" s="4"/>
      <c r="N96" s="17" t="s">
        <v>104</v>
      </c>
    </row>
    <row r="97" spans="1:14" s="17" customFormat="1" ht="18" outlineLevel="2" x14ac:dyDescent="0.45">
      <c r="A97" s="12">
        <v>79</v>
      </c>
      <c r="B97" s="13" t="s">
        <v>43</v>
      </c>
      <c r="C97" s="38">
        <v>2</v>
      </c>
      <c r="D97" s="14">
        <v>190</v>
      </c>
      <c r="E97" s="14">
        <f t="shared" si="4"/>
        <v>380</v>
      </c>
    </row>
    <row r="98" spans="1:14" s="17" customFormat="1" ht="72" outlineLevel="2" x14ac:dyDescent="0.45">
      <c r="A98" s="12">
        <v>80</v>
      </c>
      <c r="B98" s="13" t="s">
        <v>82</v>
      </c>
      <c r="C98" s="38">
        <v>2</v>
      </c>
      <c r="D98" s="14">
        <f>I98</f>
        <v>788</v>
      </c>
      <c r="E98" s="14">
        <f t="shared" si="4"/>
        <v>1576</v>
      </c>
      <c r="F98" s="17">
        <v>985</v>
      </c>
      <c r="G98" s="18">
        <v>0.2</v>
      </c>
      <c r="H98" s="17">
        <f>F98*G98</f>
        <v>197</v>
      </c>
      <c r="I98" s="17">
        <f>F98-H98</f>
        <v>788</v>
      </c>
    </row>
    <row r="99" spans="1:14" s="17" customFormat="1" ht="18" outlineLevel="1" x14ac:dyDescent="0.45">
      <c r="A99" s="76" t="s">
        <v>119</v>
      </c>
      <c r="B99" s="76"/>
      <c r="C99" s="76"/>
      <c r="D99" s="76"/>
      <c r="E99" s="76"/>
    </row>
    <row r="100" spans="1:14" s="17" customFormat="1" ht="126" outlineLevel="2" x14ac:dyDescent="0.45">
      <c r="A100" s="12">
        <v>81</v>
      </c>
      <c r="B100" s="13" t="s">
        <v>42</v>
      </c>
      <c r="C100" s="38">
        <v>2</v>
      </c>
      <c r="D100" s="14">
        <v>799</v>
      </c>
      <c r="E100" s="14">
        <f t="shared" ref="E100:E106" si="5">D100*C100</f>
        <v>1598</v>
      </c>
    </row>
    <row r="101" spans="1:14" s="17" customFormat="1" ht="18" outlineLevel="2" x14ac:dyDescent="0.45">
      <c r="A101" s="12">
        <v>82</v>
      </c>
      <c r="B101" s="13" t="s">
        <v>78</v>
      </c>
      <c r="C101" s="38">
        <v>2</v>
      </c>
      <c r="D101" s="14">
        <f>I101</f>
        <v>760</v>
      </c>
      <c r="E101" s="14">
        <f t="shared" si="5"/>
        <v>1520</v>
      </c>
      <c r="F101" s="17">
        <v>950</v>
      </c>
      <c r="G101" s="18">
        <v>0.2</v>
      </c>
      <c r="H101" s="17">
        <f>F101*G101</f>
        <v>190</v>
      </c>
      <c r="I101" s="17">
        <f>F101-H101</f>
        <v>760</v>
      </c>
    </row>
    <row r="102" spans="1:14" s="17" customFormat="1" ht="36" outlineLevel="2" x14ac:dyDescent="0.45">
      <c r="A102" s="12">
        <v>83</v>
      </c>
      <c r="B102" s="13" t="s">
        <v>97</v>
      </c>
      <c r="C102" s="38">
        <v>2</v>
      </c>
      <c r="D102" s="14">
        <f>L102</f>
        <v>47.543936170212767</v>
      </c>
      <c r="E102" s="14">
        <f t="shared" si="5"/>
        <v>95.087872340425534</v>
      </c>
      <c r="F102" s="30" t="s">
        <v>66</v>
      </c>
      <c r="G102" s="19" t="s">
        <v>67</v>
      </c>
      <c r="H102" s="20">
        <f>19431</f>
        <v>19431</v>
      </c>
      <c r="I102" s="18">
        <v>0.15</v>
      </c>
      <c r="J102" s="17">
        <f>H102*I102</f>
        <v>2914.65</v>
      </c>
      <c r="K102" s="17">
        <f>H102+J102</f>
        <v>22345.65</v>
      </c>
      <c r="L102" s="17">
        <f>K102/470</f>
        <v>47.543936170212767</v>
      </c>
    </row>
    <row r="103" spans="1:14" s="17" customFormat="1" ht="18" outlineLevel="2" x14ac:dyDescent="0.45">
      <c r="A103" s="12">
        <v>84</v>
      </c>
      <c r="B103" s="13" t="s">
        <v>19</v>
      </c>
      <c r="C103" s="38">
        <v>1</v>
      </c>
      <c r="D103" s="14">
        <v>54629</v>
      </c>
      <c r="E103" s="14">
        <f t="shared" si="5"/>
        <v>54629</v>
      </c>
    </row>
    <row r="104" spans="1:14" s="17" customFormat="1" ht="108" outlineLevel="2" x14ac:dyDescent="0.45">
      <c r="A104" s="12">
        <v>85</v>
      </c>
      <c r="B104" s="13" t="s">
        <v>54</v>
      </c>
      <c r="C104" s="38">
        <v>1</v>
      </c>
      <c r="D104" s="14">
        <v>1349</v>
      </c>
      <c r="E104" s="14">
        <f t="shared" si="5"/>
        <v>1349</v>
      </c>
    </row>
    <row r="105" spans="1:14" s="17" customFormat="1" ht="72" outlineLevel="2" x14ac:dyDescent="0.45">
      <c r="A105" s="12">
        <v>86</v>
      </c>
      <c r="B105" s="13" t="s">
        <v>53</v>
      </c>
      <c r="C105" s="38">
        <v>2</v>
      </c>
      <c r="D105" s="14">
        <v>479</v>
      </c>
      <c r="E105" s="14">
        <f t="shared" si="5"/>
        <v>958</v>
      </c>
    </row>
    <row r="106" spans="1:14" s="17" customFormat="1" ht="72" outlineLevel="2" x14ac:dyDescent="0.45">
      <c r="A106" s="12">
        <v>87</v>
      </c>
      <c r="B106" s="13" t="s">
        <v>82</v>
      </c>
      <c r="C106" s="38">
        <v>1</v>
      </c>
      <c r="D106" s="14">
        <f>I106</f>
        <v>788</v>
      </c>
      <c r="E106" s="14">
        <f t="shared" si="5"/>
        <v>788</v>
      </c>
      <c r="F106" s="17">
        <v>985</v>
      </c>
      <c r="G106" s="18">
        <v>0.2</v>
      </c>
      <c r="H106" s="17">
        <f>F106*G106</f>
        <v>197</v>
      </c>
      <c r="I106" s="17">
        <f>F106-H106</f>
        <v>788</v>
      </c>
    </row>
    <row r="107" spans="1:14" s="17" customFormat="1" ht="18" customHeight="1" outlineLevel="2" x14ac:dyDescent="0.45">
      <c r="A107" s="76" t="s">
        <v>120</v>
      </c>
      <c r="B107" s="76"/>
      <c r="C107" s="76"/>
      <c r="D107" s="76"/>
      <c r="E107" s="76"/>
      <c r="G107" s="18"/>
      <c r="N107" s="17" t="s">
        <v>107</v>
      </c>
    </row>
    <row r="108" spans="1:14" s="17" customFormat="1" ht="108" outlineLevel="2" x14ac:dyDescent="0.45">
      <c r="A108" s="12">
        <v>88</v>
      </c>
      <c r="B108" s="13" t="s">
        <v>77</v>
      </c>
      <c r="C108" s="12">
        <v>1</v>
      </c>
      <c r="D108" s="14">
        <v>1149.4000000000001</v>
      </c>
      <c r="E108" s="14">
        <f>D108*C108</f>
        <v>1149.4000000000001</v>
      </c>
      <c r="G108" s="18"/>
    </row>
    <row r="109" spans="1:14" s="17" customFormat="1" ht="18" outlineLevel="2" x14ac:dyDescent="0.45">
      <c r="A109" s="12">
        <v>89</v>
      </c>
      <c r="B109" s="13" t="s">
        <v>11</v>
      </c>
      <c r="C109" s="38">
        <v>1</v>
      </c>
      <c r="D109" s="14">
        <v>217</v>
      </c>
      <c r="E109" s="14">
        <f t="shared" ref="E109" si="6">D109*C109</f>
        <v>217</v>
      </c>
      <c r="G109" s="18"/>
    </row>
    <row r="110" spans="1:14" s="17" customFormat="1" ht="18" outlineLevel="2" x14ac:dyDescent="0.45">
      <c r="A110" s="12">
        <v>90</v>
      </c>
      <c r="B110" s="13" t="s">
        <v>78</v>
      </c>
      <c r="C110" s="12">
        <v>2</v>
      </c>
      <c r="D110" s="14">
        <v>760</v>
      </c>
      <c r="E110" s="14">
        <f>D110*C110</f>
        <v>1520</v>
      </c>
      <c r="G110" s="18"/>
    </row>
    <row r="111" spans="1:14" s="17" customFormat="1" ht="126" outlineLevel="2" x14ac:dyDescent="0.45">
      <c r="A111" s="12">
        <v>91</v>
      </c>
      <c r="B111" s="13" t="s">
        <v>42</v>
      </c>
      <c r="C111" s="12">
        <v>2</v>
      </c>
      <c r="D111" s="14">
        <v>799</v>
      </c>
      <c r="E111" s="14">
        <f>D111*C111</f>
        <v>1598</v>
      </c>
      <c r="G111" s="18"/>
    </row>
    <row r="112" spans="1:14" ht="18" outlineLevel="1" x14ac:dyDescent="0.6">
      <c r="A112" s="76" t="s">
        <v>121</v>
      </c>
      <c r="B112" s="76"/>
      <c r="C112" s="76"/>
      <c r="D112" s="76"/>
      <c r="E112" s="76"/>
      <c r="F112" s="22"/>
    </row>
    <row r="113" spans="1:14" ht="18" outlineLevel="1" x14ac:dyDescent="0.6">
      <c r="A113" s="7">
        <v>92</v>
      </c>
      <c r="B113" s="8" t="s">
        <v>1</v>
      </c>
      <c r="C113" s="39">
        <v>2</v>
      </c>
      <c r="D113" s="9">
        <v>459</v>
      </c>
      <c r="E113" s="9">
        <f t="shared" ref="E113:E119" si="7">D113*C113</f>
        <v>918</v>
      </c>
      <c r="F113" s="22"/>
    </row>
    <row r="114" spans="1:14" ht="18" outlineLevel="1" x14ac:dyDescent="0.6">
      <c r="A114" s="7">
        <v>93</v>
      </c>
      <c r="B114" s="8" t="s">
        <v>13</v>
      </c>
      <c r="C114" s="39">
        <v>1</v>
      </c>
      <c r="D114" s="9">
        <v>595</v>
      </c>
      <c r="E114" s="9">
        <f t="shared" si="7"/>
        <v>595</v>
      </c>
      <c r="F114" s="22"/>
    </row>
    <row r="115" spans="1:14" ht="18" outlineLevel="1" x14ac:dyDescent="0.6">
      <c r="A115" s="7">
        <v>94</v>
      </c>
      <c r="B115" s="8" t="s">
        <v>50</v>
      </c>
      <c r="C115" s="39">
        <v>6</v>
      </c>
      <c r="D115" s="9">
        <v>991</v>
      </c>
      <c r="E115" s="9">
        <f t="shared" si="7"/>
        <v>5946</v>
      </c>
      <c r="F115" s="22"/>
    </row>
    <row r="116" spans="1:14" ht="18" outlineLevel="1" x14ac:dyDescent="0.6">
      <c r="A116" s="7">
        <v>95</v>
      </c>
      <c r="B116" s="8" t="s">
        <v>51</v>
      </c>
      <c r="C116" s="38">
        <v>1</v>
      </c>
      <c r="D116" s="14">
        <v>2955</v>
      </c>
      <c r="E116" s="14">
        <f t="shared" si="7"/>
        <v>2955</v>
      </c>
      <c r="F116" s="22"/>
    </row>
    <row r="117" spans="1:14" ht="18" outlineLevel="1" x14ac:dyDescent="0.6">
      <c r="A117" s="7">
        <v>96</v>
      </c>
      <c r="B117" s="8" t="s">
        <v>52</v>
      </c>
      <c r="C117" s="39">
        <v>2</v>
      </c>
      <c r="D117" s="9">
        <v>60</v>
      </c>
      <c r="E117" s="9">
        <f t="shared" si="7"/>
        <v>120</v>
      </c>
      <c r="F117" s="22"/>
    </row>
    <row r="118" spans="1:14" ht="18" outlineLevel="1" x14ac:dyDescent="0.6">
      <c r="A118" s="7">
        <v>97</v>
      </c>
      <c r="B118" s="8" t="s">
        <v>18</v>
      </c>
      <c r="C118" s="39">
        <v>6</v>
      </c>
      <c r="D118" s="9">
        <v>150</v>
      </c>
      <c r="E118" s="9">
        <f t="shared" si="7"/>
        <v>900</v>
      </c>
      <c r="F118" s="22"/>
    </row>
    <row r="119" spans="1:14" ht="18" outlineLevel="1" x14ac:dyDescent="0.6">
      <c r="A119" s="7">
        <v>98</v>
      </c>
      <c r="B119" s="13" t="s">
        <v>14</v>
      </c>
      <c r="C119" s="38">
        <v>1</v>
      </c>
      <c r="D119" s="14">
        <v>500</v>
      </c>
      <c r="E119" s="14">
        <f t="shared" si="7"/>
        <v>500</v>
      </c>
      <c r="F119" s="22"/>
    </row>
    <row r="120" spans="1:14" ht="18" x14ac:dyDescent="0.6">
      <c r="A120" s="78" t="s">
        <v>98</v>
      </c>
      <c r="B120" s="78"/>
      <c r="C120" s="78"/>
      <c r="D120" s="78"/>
      <c r="E120" s="44">
        <f>SUM(E2:E119)</f>
        <v>874500.44787234056</v>
      </c>
      <c r="F120" s="22"/>
    </row>
    <row r="121" spans="1:14" ht="29.25" customHeight="1" outlineLevel="1" x14ac:dyDescent="0.6">
      <c r="A121" s="83" t="s">
        <v>122</v>
      </c>
      <c r="B121" s="83"/>
      <c r="C121" s="83"/>
      <c r="D121" s="83"/>
      <c r="E121" s="83"/>
    </row>
    <row r="122" spans="1:14" ht="18" outlineLevel="1" x14ac:dyDescent="0.6">
      <c r="A122" s="76" t="s">
        <v>15</v>
      </c>
      <c r="B122" s="76"/>
      <c r="C122" s="76"/>
      <c r="D122" s="76"/>
      <c r="E122" s="76"/>
    </row>
    <row r="123" spans="1:14" ht="18" outlineLevel="2" x14ac:dyDescent="0.6">
      <c r="A123" s="7">
        <v>99</v>
      </c>
      <c r="B123" s="8" t="s">
        <v>123</v>
      </c>
      <c r="C123" s="39">
        <v>1</v>
      </c>
      <c r="D123" s="9">
        <v>2000</v>
      </c>
      <c r="E123" s="9">
        <f t="shared" ref="E123:E126" si="8">D123*C123</f>
        <v>2000</v>
      </c>
      <c r="F123" s="22"/>
      <c r="N123" s="27"/>
    </row>
    <row r="124" spans="1:14" ht="18" outlineLevel="2" x14ac:dyDescent="0.6">
      <c r="A124" s="7">
        <v>100</v>
      </c>
      <c r="B124" s="8" t="s">
        <v>124</v>
      </c>
      <c r="C124" s="39">
        <v>1</v>
      </c>
      <c r="D124" s="9">
        <v>300</v>
      </c>
      <c r="E124" s="9">
        <f t="shared" si="8"/>
        <v>300</v>
      </c>
      <c r="F124" s="22"/>
      <c r="N124" s="27"/>
    </row>
    <row r="125" spans="1:14" ht="18" outlineLevel="2" x14ac:dyDescent="0.6">
      <c r="A125" s="7">
        <v>101</v>
      </c>
      <c r="B125" s="8" t="s">
        <v>125</v>
      </c>
      <c r="C125" s="39">
        <v>2</v>
      </c>
      <c r="D125" s="9">
        <v>200</v>
      </c>
      <c r="E125" s="9">
        <f t="shared" si="8"/>
        <v>400</v>
      </c>
      <c r="F125" s="22"/>
      <c r="N125" s="27"/>
    </row>
    <row r="126" spans="1:14" ht="18" outlineLevel="2" x14ac:dyDescent="0.6">
      <c r="A126" s="7">
        <v>102</v>
      </c>
      <c r="B126" s="8" t="s">
        <v>126</v>
      </c>
      <c r="C126" s="39">
        <v>8</v>
      </c>
      <c r="D126" s="9">
        <v>30</v>
      </c>
      <c r="E126" s="9">
        <f t="shared" si="8"/>
        <v>240</v>
      </c>
      <c r="F126" s="22"/>
      <c r="N126" s="27"/>
    </row>
    <row r="127" spans="1:14" ht="18" outlineLevel="1" x14ac:dyDescent="0.6">
      <c r="A127" s="76" t="s">
        <v>127</v>
      </c>
      <c r="B127" s="76"/>
      <c r="C127" s="76"/>
      <c r="D127" s="76"/>
      <c r="E127" s="76"/>
      <c r="F127" s="22"/>
    </row>
    <row r="128" spans="1:14" ht="18" outlineLevel="2" x14ac:dyDescent="0.6">
      <c r="A128" s="7">
        <v>103</v>
      </c>
      <c r="B128" s="8" t="s">
        <v>128</v>
      </c>
      <c r="C128" s="39">
        <v>0</v>
      </c>
      <c r="D128" s="9">
        <v>0</v>
      </c>
      <c r="E128" s="9">
        <f t="shared" ref="E128" si="9">D128*C128</f>
        <v>0</v>
      </c>
      <c r="F128" s="22"/>
      <c r="N128" s="27"/>
    </row>
    <row r="129" spans="1:14" ht="18" outlineLevel="1" x14ac:dyDescent="0.6">
      <c r="A129" s="76" t="s">
        <v>129</v>
      </c>
      <c r="B129" s="76"/>
      <c r="C129" s="76"/>
      <c r="D129" s="76"/>
      <c r="E129" s="76"/>
      <c r="F129" s="22"/>
      <c r="N129" s="27"/>
    </row>
    <row r="130" spans="1:14" ht="18" outlineLevel="2" x14ac:dyDescent="0.6">
      <c r="A130" s="7">
        <v>104</v>
      </c>
      <c r="B130" s="8" t="s">
        <v>131</v>
      </c>
      <c r="C130" s="39">
        <v>5</v>
      </c>
      <c r="D130" s="9">
        <v>800</v>
      </c>
      <c r="E130" s="9">
        <f t="shared" ref="E130" si="10">D130*C130</f>
        <v>4000</v>
      </c>
      <c r="F130" s="22"/>
      <c r="N130" s="27"/>
    </row>
    <row r="131" spans="1:14" ht="18" outlineLevel="1" x14ac:dyDescent="0.6">
      <c r="A131" s="76" t="s">
        <v>130</v>
      </c>
      <c r="B131" s="76"/>
      <c r="C131" s="76"/>
      <c r="D131" s="76"/>
      <c r="E131" s="76"/>
      <c r="F131" s="22"/>
      <c r="N131" s="27"/>
    </row>
    <row r="132" spans="1:14" ht="18" outlineLevel="2" x14ac:dyDescent="0.6">
      <c r="A132" s="7">
        <v>105</v>
      </c>
      <c r="B132" s="8" t="s">
        <v>131</v>
      </c>
      <c r="C132" s="39">
        <v>5</v>
      </c>
      <c r="D132" s="9">
        <v>800</v>
      </c>
      <c r="E132" s="9">
        <f t="shared" ref="E132" si="11">D132*C132</f>
        <v>4000</v>
      </c>
      <c r="F132" s="22"/>
      <c r="N132" s="27"/>
    </row>
    <row r="133" spans="1:14" ht="18" outlineLevel="1" x14ac:dyDescent="0.6">
      <c r="A133" s="76" t="s">
        <v>132</v>
      </c>
      <c r="B133" s="76"/>
      <c r="C133" s="76"/>
      <c r="D133" s="76"/>
      <c r="E133" s="76"/>
      <c r="F133" s="22"/>
      <c r="N133" s="27"/>
    </row>
    <row r="134" spans="1:14" ht="18" outlineLevel="2" x14ac:dyDescent="0.6">
      <c r="A134" s="7">
        <v>106</v>
      </c>
      <c r="B134" s="8" t="s">
        <v>134</v>
      </c>
      <c r="C134" s="39">
        <v>1</v>
      </c>
      <c r="D134" s="9">
        <v>1800</v>
      </c>
      <c r="E134" s="9">
        <f t="shared" ref="E134:E136" si="12">D134*C134</f>
        <v>1800</v>
      </c>
      <c r="F134" s="22"/>
      <c r="N134" s="27"/>
    </row>
    <row r="135" spans="1:14" ht="18" outlineLevel="2" x14ac:dyDescent="0.6">
      <c r="A135" s="7">
        <v>107</v>
      </c>
      <c r="B135" s="8" t="s">
        <v>135</v>
      </c>
      <c r="C135" s="39">
        <v>1</v>
      </c>
      <c r="D135" s="9">
        <v>100</v>
      </c>
      <c r="E135" s="9">
        <f t="shared" si="12"/>
        <v>100</v>
      </c>
      <c r="F135" s="22"/>
      <c r="N135" s="27"/>
    </row>
    <row r="136" spans="1:14" ht="18" outlineLevel="2" x14ac:dyDescent="0.6">
      <c r="A136" s="7">
        <v>108</v>
      </c>
      <c r="B136" s="8" t="s">
        <v>136</v>
      </c>
      <c r="C136" s="39">
        <v>1</v>
      </c>
      <c r="D136" s="9">
        <v>100</v>
      </c>
      <c r="E136" s="9">
        <f t="shared" si="12"/>
        <v>100</v>
      </c>
      <c r="F136" s="22"/>
      <c r="N136" s="27"/>
    </row>
    <row r="137" spans="1:14" ht="18" outlineLevel="1" x14ac:dyDescent="0.6">
      <c r="A137" s="76" t="s">
        <v>133</v>
      </c>
      <c r="B137" s="76"/>
      <c r="C137" s="76"/>
      <c r="D137" s="76"/>
      <c r="E137" s="76"/>
      <c r="F137" s="22"/>
      <c r="N137" s="27"/>
    </row>
    <row r="138" spans="1:14" ht="18" outlineLevel="2" x14ac:dyDescent="0.6">
      <c r="A138" s="7">
        <v>109</v>
      </c>
      <c r="B138" s="8" t="s">
        <v>134</v>
      </c>
      <c r="C138" s="39">
        <v>1</v>
      </c>
      <c r="D138" s="9">
        <v>1800</v>
      </c>
      <c r="E138" s="9">
        <f t="shared" ref="E138:E140" si="13">D138*C138</f>
        <v>1800</v>
      </c>
      <c r="F138" s="22"/>
      <c r="N138" s="27"/>
    </row>
    <row r="139" spans="1:14" ht="18" outlineLevel="2" x14ac:dyDescent="0.6">
      <c r="A139" s="7">
        <v>110</v>
      </c>
      <c r="B139" s="8" t="s">
        <v>135</v>
      </c>
      <c r="C139" s="39">
        <v>1</v>
      </c>
      <c r="D139" s="9">
        <v>100</v>
      </c>
      <c r="E139" s="9">
        <f t="shared" si="13"/>
        <v>100</v>
      </c>
      <c r="F139" s="22"/>
      <c r="N139" s="27"/>
    </row>
    <row r="140" spans="1:14" ht="18" outlineLevel="2" x14ac:dyDescent="0.6">
      <c r="A140" s="7">
        <v>111</v>
      </c>
      <c r="B140" s="8" t="s">
        <v>136</v>
      </c>
      <c r="C140" s="39">
        <v>1</v>
      </c>
      <c r="D140" s="9">
        <v>100</v>
      </c>
      <c r="E140" s="9">
        <f t="shared" si="13"/>
        <v>100</v>
      </c>
      <c r="F140" s="22"/>
      <c r="N140" s="27"/>
    </row>
    <row r="141" spans="1:14" ht="18" outlineLevel="1" x14ac:dyDescent="0.6">
      <c r="A141" s="76" t="s">
        <v>137</v>
      </c>
      <c r="B141" s="76"/>
      <c r="C141" s="76"/>
      <c r="D141" s="76"/>
      <c r="E141" s="76"/>
      <c r="F141" s="22"/>
      <c r="N141" s="27"/>
    </row>
    <row r="142" spans="1:14" ht="18" outlineLevel="2" x14ac:dyDescent="0.6">
      <c r="A142" s="7">
        <v>112</v>
      </c>
      <c r="B142" s="8" t="s">
        <v>138</v>
      </c>
      <c r="C142" s="39">
        <v>1</v>
      </c>
      <c r="D142" s="9">
        <v>600</v>
      </c>
      <c r="E142" s="9">
        <f t="shared" ref="E142:E144" si="14">D142*C142</f>
        <v>600</v>
      </c>
      <c r="F142" s="22"/>
      <c r="N142" s="27"/>
    </row>
    <row r="143" spans="1:14" ht="18" outlineLevel="2" x14ac:dyDescent="0.6">
      <c r="A143" s="7">
        <v>113</v>
      </c>
      <c r="B143" s="8" t="s">
        <v>17</v>
      </c>
      <c r="C143" s="39">
        <v>1</v>
      </c>
      <c r="D143" s="9">
        <v>300</v>
      </c>
      <c r="E143" s="9">
        <f t="shared" si="14"/>
        <v>300</v>
      </c>
      <c r="F143" s="22"/>
      <c r="N143" s="27"/>
    </row>
    <row r="144" spans="1:14" ht="18" outlineLevel="2" x14ac:dyDescent="0.6">
      <c r="A144" s="7">
        <v>114</v>
      </c>
      <c r="B144" s="8" t="s">
        <v>139</v>
      </c>
      <c r="C144" s="39">
        <v>1</v>
      </c>
      <c r="D144" s="9">
        <v>900</v>
      </c>
      <c r="E144" s="9">
        <f t="shared" si="14"/>
        <v>900</v>
      </c>
      <c r="F144" s="22"/>
      <c r="N144" s="27"/>
    </row>
    <row r="145" spans="1:14" ht="18" customHeight="1" outlineLevel="1" x14ac:dyDescent="0.6">
      <c r="A145" s="80" t="s">
        <v>16</v>
      </c>
      <c r="B145" s="81"/>
      <c r="C145" s="81"/>
      <c r="D145" s="81"/>
      <c r="E145" s="82"/>
      <c r="F145" s="22"/>
      <c r="N145" s="27"/>
    </row>
    <row r="146" spans="1:14" ht="18" outlineLevel="1" x14ac:dyDescent="0.6">
      <c r="A146" s="7">
        <v>115</v>
      </c>
      <c r="B146" s="8" t="s">
        <v>138</v>
      </c>
      <c r="C146" s="39">
        <v>1</v>
      </c>
      <c r="D146" s="9">
        <v>600</v>
      </c>
      <c r="E146" s="9">
        <f t="shared" ref="E146:E148" si="15">D146*C146</f>
        <v>600</v>
      </c>
      <c r="F146" s="22"/>
      <c r="N146" s="27"/>
    </row>
    <row r="147" spans="1:14" ht="18" outlineLevel="1" x14ac:dyDescent="0.6">
      <c r="A147" s="7">
        <v>116</v>
      </c>
      <c r="B147" s="8" t="s">
        <v>17</v>
      </c>
      <c r="C147" s="39">
        <v>1</v>
      </c>
      <c r="D147" s="9">
        <v>300</v>
      </c>
      <c r="E147" s="9">
        <f t="shared" si="15"/>
        <v>300</v>
      </c>
      <c r="F147" s="22"/>
      <c r="N147" s="27"/>
    </row>
    <row r="148" spans="1:14" ht="18" outlineLevel="1" x14ac:dyDescent="0.6">
      <c r="A148" s="7">
        <v>117</v>
      </c>
      <c r="B148" s="8" t="s">
        <v>139</v>
      </c>
      <c r="C148" s="39">
        <v>1</v>
      </c>
      <c r="D148" s="9">
        <v>900</v>
      </c>
      <c r="E148" s="9">
        <f t="shared" si="15"/>
        <v>900</v>
      </c>
      <c r="F148" s="22"/>
      <c r="N148" s="27"/>
    </row>
    <row r="149" spans="1:14" ht="18" x14ac:dyDescent="0.6">
      <c r="A149" s="78" t="s">
        <v>100</v>
      </c>
      <c r="B149" s="78"/>
      <c r="C149" s="78"/>
      <c r="D149" s="78"/>
      <c r="E149" s="44">
        <f>SUM(E123:E148)</f>
        <v>18540</v>
      </c>
      <c r="N149" s="27"/>
    </row>
    <row r="150" spans="1:14" ht="51.75" customHeight="1" x14ac:dyDescent="0.6">
      <c r="A150" s="79" t="s">
        <v>99</v>
      </c>
      <c r="B150" s="79"/>
      <c r="C150" s="79"/>
      <c r="D150" s="79"/>
      <c r="E150" s="45">
        <f>E120+E149</f>
        <v>893040.44787234056</v>
      </c>
      <c r="M150" s="22">
        <f>E150*470</f>
        <v>419729010.50000006</v>
      </c>
    </row>
    <row r="151" spans="1:14" ht="18" outlineLevel="1" x14ac:dyDescent="0.6">
      <c r="A151" s="76" t="s">
        <v>96</v>
      </c>
      <c r="B151" s="76"/>
      <c r="C151" s="76"/>
      <c r="D151" s="76"/>
      <c r="E151" s="76"/>
    </row>
    <row r="152" spans="1:14" ht="90" outlineLevel="1" x14ac:dyDescent="0.6">
      <c r="A152" s="3">
        <v>118</v>
      </c>
      <c r="B152" s="2" t="s">
        <v>91</v>
      </c>
      <c r="C152" s="40">
        <v>1</v>
      </c>
      <c r="D152" s="26" t="s">
        <v>95</v>
      </c>
      <c r="E152" s="26" t="s">
        <v>95</v>
      </c>
    </row>
    <row r="153" spans="1:14" ht="36" outlineLevel="1" x14ac:dyDescent="0.6">
      <c r="A153" s="3">
        <v>119</v>
      </c>
      <c r="B153" s="2" t="s">
        <v>92</v>
      </c>
      <c r="C153" s="40">
        <v>1</v>
      </c>
      <c r="D153" s="26" t="s">
        <v>95</v>
      </c>
      <c r="E153" s="26" t="s">
        <v>95</v>
      </c>
    </row>
    <row r="154" spans="1:14" ht="72" outlineLevel="1" x14ac:dyDescent="0.6">
      <c r="A154" s="3">
        <v>120</v>
      </c>
      <c r="B154" s="2" t="s">
        <v>93</v>
      </c>
      <c r="C154" s="40">
        <v>1</v>
      </c>
      <c r="D154" s="26" t="s">
        <v>95</v>
      </c>
      <c r="E154" s="26" t="s">
        <v>95</v>
      </c>
    </row>
    <row r="155" spans="1:14" ht="90" outlineLevel="1" x14ac:dyDescent="0.6">
      <c r="A155" s="3">
        <v>121</v>
      </c>
      <c r="B155" s="2" t="s">
        <v>143</v>
      </c>
      <c r="C155" s="40">
        <v>1</v>
      </c>
      <c r="D155" s="26" t="s">
        <v>95</v>
      </c>
      <c r="E155" s="26" t="s">
        <v>95</v>
      </c>
    </row>
    <row r="156" spans="1:14" ht="54" outlineLevel="1" x14ac:dyDescent="0.6">
      <c r="A156" s="3">
        <v>122</v>
      </c>
      <c r="B156" s="2" t="s">
        <v>94</v>
      </c>
      <c r="C156" s="40">
        <v>1</v>
      </c>
      <c r="D156" s="26" t="s">
        <v>95</v>
      </c>
      <c r="E156" s="26" t="s">
        <v>95</v>
      </c>
    </row>
    <row r="157" spans="1:14" ht="55.5" customHeight="1" x14ac:dyDescent="0.6">
      <c r="A157" s="79" t="s">
        <v>101</v>
      </c>
      <c r="B157" s="79"/>
      <c r="C157" s="79"/>
      <c r="D157" s="79"/>
      <c r="E157" s="45">
        <f>E150</f>
        <v>893040.44787234056</v>
      </c>
    </row>
  </sheetData>
  <mergeCells count="30">
    <mergeCell ref="A2:E2"/>
    <mergeCell ref="A4:E4"/>
    <mergeCell ref="A15:E15"/>
    <mergeCell ref="A27:E27"/>
    <mergeCell ref="A35:A42"/>
    <mergeCell ref="C35:C42"/>
    <mergeCell ref="D35:D42"/>
    <mergeCell ref="E35:E42"/>
    <mergeCell ref="A127:E127"/>
    <mergeCell ref="A49:E49"/>
    <mergeCell ref="A57:E57"/>
    <mergeCell ref="A65:E65"/>
    <mergeCell ref="A82:E82"/>
    <mergeCell ref="A91:E91"/>
    <mergeCell ref="A99:E99"/>
    <mergeCell ref="A107:E107"/>
    <mergeCell ref="A112:E112"/>
    <mergeCell ref="A120:D120"/>
    <mergeCell ref="A121:E121"/>
    <mergeCell ref="A122:E122"/>
    <mergeCell ref="A149:D149"/>
    <mergeCell ref="A150:D150"/>
    <mergeCell ref="A151:E151"/>
    <mergeCell ref="A157:D157"/>
    <mergeCell ref="A129:E129"/>
    <mergeCell ref="A131:E131"/>
    <mergeCell ref="A133:E133"/>
    <mergeCell ref="A137:E137"/>
    <mergeCell ref="A141:E141"/>
    <mergeCell ref="A145:E145"/>
  </mergeCells>
  <hyperlinks>
    <hyperlink ref="G95" r:id="rId1" xr:uid="{E1F52E40-7734-4465-B9EC-C5EBB8E5DBF8}"/>
    <hyperlink ref="G90" r:id="rId2" xr:uid="{F45CD66F-0B5F-4F1C-A7A3-1E8B3880B484}"/>
    <hyperlink ref="G102" r:id="rId3" xr:uid="{21FFB862-7213-4AF6-B581-581CF10B915D}"/>
    <hyperlink ref="G73" r:id="rId4" xr:uid="{799346A2-5982-4ECA-99DC-2495CEAC9052}"/>
    <hyperlink ref="G52" r:id="rId5" xr:uid="{576D5214-A2A6-4724-BFAF-057177A46F8F}"/>
    <hyperlink ref="G7" r:id="rId6" xr:uid="{16165B14-E831-48C4-BFA4-D6C95E4E3895}"/>
    <hyperlink ref="G60" r:id="rId7" xr:uid="{29079C81-EFBD-40E5-8639-782838A0BF24}"/>
    <hyperlink ref="G14" r:id="rId8" xr:uid="{932D6FE6-9596-4A82-8F5F-CD0ABA33AB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3</vt:i4>
      </vt:variant>
    </vt:vector>
  </HeadingPairs>
  <TitlesOfParts>
    <vt:vector size="8" baseType="lpstr">
      <vt:lpstr>ПРИЕМКА</vt:lpstr>
      <vt:lpstr>ПРОБОПОДГОТОВКА</vt:lpstr>
      <vt:lpstr>ПРОБИРНЫЙ АНАЛИЗ</vt:lpstr>
      <vt:lpstr>АНАЛИТИКА</vt:lpstr>
      <vt:lpstr>ПРЕКУРСОРНАЯ</vt:lpstr>
      <vt:lpstr>ПРИЕМКА!Область_печати</vt:lpstr>
      <vt:lpstr>'ПРОБИРНЫЙ АНАЛИЗ'!Область_печати</vt:lpstr>
      <vt:lpstr>ПРОБОПОДГОТОВКА!Область_печати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Baizhigitova Aizhan</dc:creator>
  <cp:lastModifiedBy>Ainura Karpseitova</cp:lastModifiedBy>
  <cp:revision>5</cp:revision>
  <cp:lastPrinted>2026-07-16T05:46:00Z</cp:lastPrinted>
  <dcterms:created xsi:type="dcterms:W3CDTF">2025-01-23T11:22:39Z</dcterms:created>
  <dcterms:modified xsi:type="dcterms:W3CDTF">2026-07-31T06:32:03Z</dcterms:modified>
</cp:coreProperties>
</file>